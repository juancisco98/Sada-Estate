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KA\Desktop\Downloads\"/>
    </mc:Choice>
  </mc:AlternateContent>
  <bookViews>
    <workbookView xWindow="0" yWindow="0" windowWidth="20730" windowHeight="11730" activeTab="1"/>
  </bookViews>
  <sheets>
    <sheet name="ADMINISTRACION" sheetId="21" r:id="rId1"/>
    <sheet name="MOYANO " sheetId="25" r:id="rId2"/>
    <sheet name="VARGAS" sheetId="1" r:id="rId3"/>
    <sheet name="MOYANO" sheetId="5" r:id="rId4"/>
    <sheet name="HIGONENQ " sheetId="8" r:id="rId5"/>
    <sheet name="RASTELLI" sheetId="4" r:id="rId6"/>
    <sheet name="GONZALEZ F" sheetId="6" r:id="rId7"/>
    <sheet name="PB C" sheetId="9" r:id="rId8"/>
    <sheet name="BERENICE" sheetId="24" r:id="rId9"/>
    <sheet name="PERALTA" sheetId="23" r:id="rId10"/>
    <sheet name="LOYOLA" sheetId="11" r:id="rId11"/>
    <sheet name="CATALINA" sheetId="12" r:id="rId12"/>
    <sheet name="MIGUELPBD" sheetId="13" r:id="rId13"/>
    <sheet name="ANTONIA" sheetId="14" r:id="rId14"/>
    <sheet name="MIGUEL A. RAINIERI 1E" sheetId="15" r:id="rId15"/>
    <sheet name="WALTER" sheetId="22" r:id="rId16"/>
    <sheet name="ECKSTEIN" sheetId="17" r:id="rId17"/>
    <sheet name="MADALENO" sheetId="18" r:id="rId18"/>
    <sheet name="RIVERO JUAN" sheetId="19" r:id="rId19"/>
    <sheet name="JULIAN" sheetId="20" r:id="rId20"/>
  </sheets>
  <definedNames>
    <definedName name="_xlnm.Print_Area" localSheetId="0">ADMINISTRACION!$B$1:$J$77</definedName>
    <definedName name="_xlnm.Print_Area" localSheetId="13">ANTONIA!$A$1:$H$73</definedName>
    <definedName name="_xlnm.Print_Area" localSheetId="8">BERENICE!$A$1:$H$73</definedName>
    <definedName name="_xlnm.Print_Area" localSheetId="11">CATALINA!$A$1:$H$73</definedName>
    <definedName name="_xlnm.Print_Area" localSheetId="16">ECKSTEIN!$A$1:$H$73</definedName>
    <definedName name="_xlnm.Print_Area" localSheetId="6">'GONZALEZ F'!$A$1:$H$73</definedName>
    <definedName name="_xlnm.Print_Area" localSheetId="4">'HIGONENQ '!$A$1:$H$73</definedName>
    <definedName name="_xlnm.Print_Area" localSheetId="19">JULIAN!$A$1:$I$73</definedName>
    <definedName name="_xlnm.Print_Area" localSheetId="10">LOYOLA!$A$1:$H$73</definedName>
    <definedName name="_xlnm.Print_Area" localSheetId="17">MADALENO!$A$1:$I$74</definedName>
    <definedName name="_xlnm.Print_Area" localSheetId="14">'MIGUEL A. RAINIERI 1E'!$A$1:$H$73</definedName>
    <definedName name="_xlnm.Print_Area" localSheetId="12">MIGUELPBD!$A$1:$H$73</definedName>
    <definedName name="_xlnm.Print_Area" localSheetId="3">MOYANO!$A$1:$H$74</definedName>
    <definedName name="_xlnm.Print_Area" localSheetId="1">'MOYANO '!$A$1:$H$74</definedName>
    <definedName name="_xlnm.Print_Area" localSheetId="7">'PB C'!$A$1:$H$73</definedName>
    <definedName name="_xlnm.Print_Area" localSheetId="9">PERALTA!$A$1:$H$73</definedName>
    <definedName name="_xlnm.Print_Area" localSheetId="5">RASTELLI!$A$1:$H$74</definedName>
    <definedName name="_xlnm.Print_Area" localSheetId="18">'RIVERO JUAN'!$A$1:$H$74</definedName>
    <definedName name="_xlnm.Print_Area" localSheetId="2">VARGAS!$B$1:$I$73</definedName>
    <definedName name="_xlnm.Print_Area" localSheetId="15">WALTER!$A$1:$H$74</definedName>
  </definedNames>
  <calcPr calcId="162913"/>
</workbook>
</file>

<file path=xl/calcChain.xml><?xml version="1.0" encoding="utf-8"?>
<calcChain xmlns="http://schemas.openxmlformats.org/spreadsheetml/2006/main">
  <c r="E67" i="25" l="1"/>
  <c r="E38" i="25" s="1"/>
  <c r="D67" i="25"/>
  <c r="C67" i="25"/>
  <c r="G66" i="25"/>
  <c r="H66" i="25" s="1"/>
  <c r="F66" i="25"/>
  <c r="G65" i="25"/>
  <c r="F65" i="25"/>
  <c r="H65" i="25" s="1"/>
  <c r="G64" i="25"/>
  <c r="F64" i="25"/>
  <c r="H64" i="25" s="1"/>
  <c r="H63" i="25"/>
  <c r="G63" i="25"/>
  <c r="F63" i="25"/>
  <c r="G62" i="25"/>
  <c r="F62" i="25"/>
  <c r="H62" i="25" s="1"/>
  <c r="G61" i="25"/>
  <c r="F61" i="25"/>
  <c r="H61" i="25" s="1"/>
  <c r="G60" i="25"/>
  <c r="F60" i="25"/>
  <c r="H60" i="25" s="1"/>
  <c r="G59" i="25"/>
  <c r="F59" i="25"/>
  <c r="H59" i="25" s="1"/>
  <c r="G58" i="25"/>
  <c r="H58" i="25" s="1"/>
  <c r="F58" i="25"/>
  <c r="G57" i="25"/>
  <c r="F57" i="25"/>
  <c r="H57" i="25" s="1"/>
  <c r="G56" i="25"/>
  <c r="F56" i="25"/>
  <c r="H56" i="25" s="1"/>
  <c r="H55" i="25"/>
  <c r="G55" i="25"/>
  <c r="F55" i="25"/>
  <c r="G54" i="25"/>
  <c r="F54" i="25"/>
  <c r="H54" i="25" s="1"/>
  <c r="G53" i="25"/>
  <c r="F53" i="25"/>
  <c r="H53" i="25" s="1"/>
  <c r="G52" i="25"/>
  <c r="F52" i="25"/>
  <c r="H52" i="25" s="1"/>
  <c r="G51" i="25"/>
  <c r="F51" i="25"/>
  <c r="H51" i="25" s="1"/>
  <c r="G50" i="25"/>
  <c r="H50" i="25" s="1"/>
  <c r="F50" i="25"/>
  <c r="G49" i="25"/>
  <c r="F49" i="25"/>
  <c r="H49" i="25" s="1"/>
  <c r="G48" i="25"/>
  <c r="G67" i="25" s="1"/>
  <c r="F48" i="25"/>
  <c r="H48" i="25" s="1"/>
  <c r="F43" i="25"/>
  <c r="G41" i="25"/>
  <c r="G40" i="25"/>
  <c r="G37" i="25"/>
  <c r="G34" i="25"/>
  <c r="F34" i="25"/>
  <c r="F35" i="25" s="1"/>
  <c r="E34" i="25"/>
  <c r="G33" i="25"/>
  <c r="G32" i="25"/>
  <c r="G31" i="25"/>
  <c r="F30" i="25"/>
  <c r="E30" i="25"/>
  <c r="E35" i="25" s="1"/>
  <c r="G29" i="25"/>
  <c r="G30" i="25" s="1"/>
  <c r="G28" i="25"/>
  <c r="G27" i="25"/>
  <c r="G26" i="25"/>
  <c r="E25" i="25"/>
  <c r="G24" i="25"/>
  <c r="G23" i="25"/>
  <c r="G22" i="25"/>
  <c r="G25" i="25" s="1"/>
  <c r="G21" i="25"/>
  <c r="F20" i="25"/>
  <c r="E20" i="25"/>
  <c r="G19" i="25"/>
  <c r="G18" i="25"/>
  <c r="G20" i="25" s="1"/>
  <c r="G16" i="25"/>
  <c r="F16" i="25"/>
  <c r="E16" i="25"/>
  <c r="G15" i="25"/>
  <c r="G12" i="25"/>
  <c r="H59" i="21"/>
  <c r="G57" i="14"/>
  <c r="H63" i="21"/>
  <c r="G35" i="25" l="1"/>
  <c r="H67" i="25"/>
  <c r="G38" i="25"/>
  <c r="G43" i="25" s="1"/>
  <c r="F67" i="25"/>
  <c r="F67" i="20"/>
  <c r="E67" i="20"/>
  <c r="D67" i="20"/>
  <c r="H66" i="20"/>
  <c r="G66" i="20"/>
  <c r="I66" i="20" s="1"/>
  <c r="H65" i="20"/>
  <c r="G65" i="20"/>
  <c r="I65" i="20" s="1"/>
  <c r="H64" i="20"/>
  <c r="G64" i="20"/>
  <c r="H63" i="20"/>
  <c r="G63" i="20"/>
  <c r="I63" i="20" s="1"/>
  <c r="H62" i="20"/>
  <c r="G62" i="20"/>
  <c r="I62" i="20" s="1"/>
  <c r="H61" i="20"/>
  <c r="G61" i="20"/>
  <c r="I61" i="20" s="1"/>
  <c r="H60" i="20"/>
  <c r="G60" i="20"/>
  <c r="H59" i="20"/>
  <c r="G59" i="20"/>
  <c r="I59" i="20" s="1"/>
  <c r="H58" i="20"/>
  <c r="G58" i="20"/>
  <c r="I58" i="20" s="1"/>
  <c r="H57" i="20"/>
  <c r="G57" i="20"/>
  <c r="I57" i="20" s="1"/>
  <c r="H56" i="20"/>
  <c r="G56" i="20"/>
  <c r="H55" i="20"/>
  <c r="G55" i="20"/>
  <c r="I55" i="20" s="1"/>
  <c r="H54" i="20"/>
  <c r="G54" i="20"/>
  <c r="I54" i="20" s="1"/>
  <c r="H53" i="20"/>
  <c r="G53" i="20"/>
  <c r="I53" i="20" s="1"/>
  <c r="H52" i="20"/>
  <c r="G52" i="20"/>
  <c r="H51" i="20"/>
  <c r="G51" i="20"/>
  <c r="I51" i="20" s="1"/>
  <c r="H50" i="20"/>
  <c r="G50" i="20"/>
  <c r="H49" i="20"/>
  <c r="G49" i="20"/>
  <c r="I49" i="20" s="1"/>
  <c r="H48" i="20"/>
  <c r="H67" i="20" s="1"/>
  <c r="G48" i="20"/>
  <c r="G43" i="20"/>
  <c r="H41" i="20"/>
  <c r="H40" i="20"/>
  <c r="F38" i="20"/>
  <c r="H38" i="20" s="1"/>
  <c r="H37" i="20"/>
  <c r="G35" i="20"/>
  <c r="G34" i="20"/>
  <c r="F34" i="20"/>
  <c r="H33" i="20"/>
  <c r="H32" i="20"/>
  <c r="H34" i="20" s="1"/>
  <c r="H31" i="20"/>
  <c r="G30" i="20"/>
  <c r="F30" i="20"/>
  <c r="H29" i="20"/>
  <c r="H28" i="20"/>
  <c r="H27" i="20"/>
  <c r="H26" i="20"/>
  <c r="F25" i="20"/>
  <c r="H24" i="20"/>
  <c r="H23" i="20"/>
  <c r="H22" i="20"/>
  <c r="H25" i="20" s="1"/>
  <c r="H21" i="20"/>
  <c r="G20" i="20"/>
  <c r="F20" i="20"/>
  <c r="H19" i="20"/>
  <c r="H18" i="20"/>
  <c r="H20" i="20" s="1"/>
  <c r="G16" i="20"/>
  <c r="F16" i="20"/>
  <c r="F35" i="20" s="1"/>
  <c r="H15" i="20"/>
  <c r="H16" i="20" s="1"/>
  <c r="E67" i="19"/>
  <c r="D67" i="19"/>
  <c r="C67" i="19"/>
  <c r="G66" i="19"/>
  <c r="F66" i="19"/>
  <c r="H66" i="19" s="1"/>
  <c r="G65" i="19"/>
  <c r="F65" i="19"/>
  <c r="H65" i="19" s="1"/>
  <c r="G64" i="19"/>
  <c r="F64" i="19"/>
  <c r="G63" i="19"/>
  <c r="F63" i="19"/>
  <c r="H63" i="19" s="1"/>
  <c r="G62" i="19"/>
  <c r="F62" i="19"/>
  <c r="H62" i="19" s="1"/>
  <c r="G61" i="19"/>
  <c r="F61" i="19"/>
  <c r="H61" i="19" s="1"/>
  <c r="G60" i="19"/>
  <c r="F60" i="19"/>
  <c r="G59" i="19"/>
  <c r="F59" i="19"/>
  <c r="H59" i="19" s="1"/>
  <c r="G58" i="19"/>
  <c r="F58" i="19"/>
  <c r="H58" i="19" s="1"/>
  <c r="G57" i="19"/>
  <c r="F57" i="19"/>
  <c r="H57" i="19" s="1"/>
  <c r="G56" i="19"/>
  <c r="F56" i="19"/>
  <c r="G55" i="19"/>
  <c r="F55" i="19"/>
  <c r="H55" i="19" s="1"/>
  <c r="G54" i="19"/>
  <c r="F54" i="19"/>
  <c r="H54" i="19" s="1"/>
  <c r="G53" i="19"/>
  <c r="F53" i="19"/>
  <c r="H53" i="19" s="1"/>
  <c r="G52" i="19"/>
  <c r="F52" i="19"/>
  <c r="G51" i="19"/>
  <c r="F51" i="19"/>
  <c r="H51" i="19" s="1"/>
  <c r="G50" i="19"/>
  <c r="F50" i="19"/>
  <c r="H50" i="19" s="1"/>
  <c r="G49" i="19"/>
  <c r="F49" i="19"/>
  <c r="H49" i="19" s="1"/>
  <c r="G48" i="19"/>
  <c r="G67" i="19" s="1"/>
  <c r="F48" i="19"/>
  <c r="F43" i="19"/>
  <c r="G41" i="19"/>
  <c r="G40" i="19"/>
  <c r="E38" i="19"/>
  <c r="G38" i="19" s="1"/>
  <c r="G37" i="19"/>
  <c r="F35" i="19"/>
  <c r="F34" i="19"/>
  <c r="E34" i="19"/>
  <c r="G33" i="19"/>
  <c r="G32" i="19"/>
  <c r="G31" i="19"/>
  <c r="F30" i="19"/>
  <c r="E30" i="19"/>
  <c r="G29" i="19"/>
  <c r="G28" i="19"/>
  <c r="G27" i="19"/>
  <c r="G26" i="19"/>
  <c r="E25" i="19"/>
  <c r="G24" i="19"/>
  <c r="G23" i="19"/>
  <c r="G22" i="19"/>
  <c r="G25" i="19" s="1"/>
  <c r="G21" i="19"/>
  <c r="F20" i="19"/>
  <c r="E20" i="19"/>
  <c r="G19" i="19"/>
  <c r="G18" i="19"/>
  <c r="F16" i="19"/>
  <c r="E16" i="19"/>
  <c r="E35" i="19" s="1"/>
  <c r="G15" i="19"/>
  <c r="G16" i="19" s="1"/>
  <c r="F67" i="18"/>
  <c r="E67" i="18"/>
  <c r="D67" i="18"/>
  <c r="H66" i="18"/>
  <c r="G66" i="18"/>
  <c r="I66" i="18" s="1"/>
  <c r="H65" i="18"/>
  <c r="G65" i="18"/>
  <c r="I65" i="18" s="1"/>
  <c r="H64" i="18"/>
  <c r="G64" i="18"/>
  <c r="H63" i="18"/>
  <c r="G63" i="18"/>
  <c r="I63" i="18" s="1"/>
  <c r="H62" i="18"/>
  <c r="G62" i="18"/>
  <c r="I62" i="18" s="1"/>
  <c r="H61" i="18"/>
  <c r="G61" i="18"/>
  <c r="I61" i="18" s="1"/>
  <c r="H60" i="18"/>
  <c r="G60" i="18"/>
  <c r="H59" i="18"/>
  <c r="G59" i="18"/>
  <c r="I59" i="18" s="1"/>
  <c r="H58" i="18"/>
  <c r="G58" i="18"/>
  <c r="I58" i="18" s="1"/>
  <c r="H57" i="18"/>
  <c r="G57" i="18"/>
  <c r="I57" i="18" s="1"/>
  <c r="H56" i="18"/>
  <c r="G56" i="18"/>
  <c r="H55" i="18"/>
  <c r="G55" i="18"/>
  <c r="I55" i="18" s="1"/>
  <c r="H54" i="18"/>
  <c r="G54" i="18"/>
  <c r="I54" i="18" s="1"/>
  <c r="H53" i="18"/>
  <c r="G53" i="18"/>
  <c r="I53" i="18" s="1"/>
  <c r="H52" i="18"/>
  <c r="G52" i="18"/>
  <c r="H51" i="18"/>
  <c r="G51" i="18"/>
  <c r="I51" i="18" s="1"/>
  <c r="H50" i="18"/>
  <c r="G50" i="18"/>
  <c r="I50" i="18" s="1"/>
  <c r="H49" i="18"/>
  <c r="G49" i="18"/>
  <c r="I49" i="18" s="1"/>
  <c r="H48" i="18"/>
  <c r="H67" i="18" s="1"/>
  <c r="G48" i="18"/>
  <c r="G43" i="18"/>
  <c r="H41" i="18"/>
  <c r="H40" i="18"/>
  <c r="F38" i="18"/>
  <c r="H37" i="18"/>
  <c r="G34" i="18"/>
  <c r="G35" i="18" s="1"/>
  <c r="F34" i="18"/>
  <c r="H33" i="18"/>
  <c r="H32" i="18"/>
  <c r="H34" i="18" s="1"/>
  <c r="H31" i="18"/>
  <c r="G30" i="18"/>
  <c r="F30" i="18"/>
  <c r="H29" i="18"/>
  <c r="H28" i="18"/>
  <c r="H27" i="18"/>
  <c r="H30" i="18" s="1"/>
  <c r="H26" i="18"/>
  <c r="F25" i="18"/>
  <c r="H24" i="18"/>
  <c r="H23" i="18"/>
  <c r="H22" i="18"/>
  <c r="H25" i="18" s="1"/>
  <c r="H21" i="18"/>
  <c r="G20" i="18"/>
  <c r="F20" i="18"/>
  <c r="H19" i="18"/>
  <c r="H18" i="18"/>
  <c r="H20" i="18" s="1"/>
  <c r="G16" i="18"/>
  <c r="F16" i="18"/>
  <c r="H15" i="18"/>
  <c r="H16" i="18" s="1"/>
  <c r="E67" i="17"/>
  <c r="E38" i="17" s="1"/>
  <c r="G38" i="17" s="1"/>
  <c r="D67" i="17"/>
  <c r="C67" i="17"/>
  <c r="G66" i="17"/>
  <c r="F66" i="17"/>
  <c r="H66" i="17" s="1"/>
  <c r="G65" i="17"/>
  <c r="F65" i="17"/>
  <c r="H65" i="17" s="1"/>
  <c r="G64" i="17"/>
  <c r="F64" i="17"/>
  <c r="H64" i="17" s="1"/>
  <c r="G63" i="17"/>
  <c r="F63" i="17"/>
  <c r="H63" i="17" s="1"/>
  <c r="G62" i="17"/>
  <c r="F62" i="17"/>
  <c r="H62" i="17" s="1"/>
  <c r="G61" i="17"/>
  <c r="F61" i="17"/>
  <c r="H61" i="17" s="1"/>
  <c r="G60" i="17"/>
  <c r="F60" i="17"/>
  <c r="H60" i="17" s="1"/>
  <c r="G59" i="17"/>
  <c r="F59" i="17"/>
  <c r="H59" i="17" s="1"/>
  <c r="G58" i="17"/>
  <c r="F58" i="17"/>
  <c r="H58" i="17" s="1"/>
  <c r="G57" i="17"/>
  <c r="F57" i="17"/>
  <c r="H57" i="17" s="1"/>
  <c r="G56" i="17"/>
  <c r="F56" i="17"/>
  <c r="H56" i="17" s="1"/>
  <c r="G55" i="17"/>
  <c r="F55" i="17"/>
  <c r="H55" i="17" s="1"/>
  <c r="G54" i="17"/>
  <c r="F54" i="17"/>
  <c r="H54" i="17" s="1"/>
  <c r="G53" i="17"/>
  <c r="F53" i="17"/>
  <c r="H53" i="17" s="1"/>
  <c r="G52" i="17"/>
  <c r="F52" i="17"/>
  <c r="H52" i="17" s="1"/>
  <c r="G51" i="17"/>
  <c r="F51" i="17"/>
  <c r="H51" i="17" s="1"/>
  <c r="G50" i="17"/>
  <c r="F50" i="17"/>
  <c r="H50" i="17" s="1"/>
  <c r="G49" i="17"/>
  <c r="F49" i="17"/>
  <c r="H49" i="17" s="1"/>
  <c r="G48" i="17"/>
  <c r="F48" i="17"/>
  <c r="F43" i="17"/>
  <c r="G41" i="17"/>
  <c r="G40" i="17"/>
  <c r="G37" i="17"/>
  <c r="F34" i="17"/>
  <c r="F35" i="17" s="1"/>
  <c r="E34" i="17"/>
  <c r="G33" i="17"/>
  <c r="G32" i="17"/>
  <c r="G31" i="17"/>
  <c r="F30" i="17"/>
  <c r="E30" i="17"/>
  <c r="G29" i="17"/>
  <c r="G28" i="17"/>
  <c r="G27" i="17"/>
  <c r="G26" i="17"/>
  <c r="E25" i="17"/>
  <c r="G24" i="17"/>
  <c r="G23" i="17"/>
  <c r="G22" i="17"/>
  <c r="G25" i="17" s="1"/>
  <c r="G21" i="17"/>
  <c r="F20" i="17"/>
  <c r="E20" i="17"/>
  <c r="G19" i="17"/>
  <c r="G18" i="17"/>
  <c r="G16" i="17"/>
  <c r="F16" i="17"/>
  <c r="E16" i="17"/>
  <c r="G15" i="17"/>
  <c r="E67" i="22"/>
  <c r="E38" i="22" s="1"/>
  <c r="G38" i="22" s="1"/>
  <c r="D67" i="22"/>
  <c r="C67" i="22"/>
  <c r="G66" i="22"/>
  <c r="F66" i="22"/>
  <c r="H66" i="22" s="1"/>
  <c r="G65" i="22"/>
  <c r="F65" i="22"/>
  <c r="H65" i="22" s="1"/>
  <c r="G64" i="22"/>
  <c r="F64" i="22"/>
  <c r="H64" i="22" s="1"/>
  <c r="G63" i="22"/>
  <c r="F63" i="22"/>
  <c r="H63" i="22" s="1"/>
  <c r="G62" i="22"/>
  <c r="F62" i="22"/>
  <c r="H62" i="22" s="1"/>
  <c r="G61" i="22"/>
  <c r="F61" i="22"/>
  <c r="H61" i="22" s="1"/>
  <c r="G60" i="22"/>
  <c r="F60" i="22"/>
  <c r="H60" i="22" s="1"/>
  <c r="G59" i="22"/>
  <c r="F59" i="22"/>
  <c r="H59" i="22" s="1"/>
  <c r="G58" i="22"/>
  <c r="F58" i="22"/>
  <c r="H58" i="22" s="1"/>
  <c r="G57" i="22"/>
  <c r="F57" i="22"/>
  <c r="H57" i="22" s="1"/>
  <c r="G56" i="22"/>
  <c r="F56" i="22"/>
  <c r="H56" i="22" s="1"/>
  <c r="G55" i="22"/>
  <c r="F55" i="22"/>
  <c r="H55" i="22" s="1"/>
  <c r="G54" i="22"/>
  <c r="F54" i="22"/>
  <c r="H54" i="22" s="1"/>
  <c r="G53" i="22"/>
  <c r="F53" i="22"/>
  <c r="H53" i="22" s="1"/>
  <c r="G52" i="22"/>
  <c r="F52" i="22"/>
  <c r="H52" i="22" s="1"/>
  <c r="G51" i="22"/>
  <c r="F51" i="22"/>
  <c r="H51" i="22" s="1"/>
  <c r="G50" i="22"/>
  <c r="F50" i="22"/>
  <c r="H50" i="22" s="1"/>
  <c r="G49" i="22"/>
  <c r="F49" i="22"/>
  <c r="H49" i="22" s="1"/>
  <c r="G48" i="22"/>
  <c r="F48" i="22"/>
  <c r="F43" i="22"/>
  <c r="G41" i="22"/>
  <c r="G40" i="22"/>
  <c r="G37" i="22"/>
  <c r="F34" i="22"/>
  <c r="F35" i="22" s="1"/>
  <c r="E34" i="22"/>
  <c r="G33" i="22"/>
  <c r="G32" i="22"/>
  <c r="G31" i="22"/>
  <c r="F30" i="22"/>
  <c r="E30" i="22"/>
  <c r="G29" i="22"/>
  <c r="G28" i="22"/>
  <c r="G27" i="22"/>
  <c r="G26" i="22"/>
  <c r="E25" i="22"/>
  <c r="G24" i="22"/>
  <c r="G23" i="22"/>
  <c r="G22" i="22"/>
  <c r="G25" i="22" s="1"/>
  <c r="G21" i="22"/>
  <c r="F20" i="22"/>
  <c r="E20" i="22"/>
  <c r="G19" i="22"/>
  <c r="G18" i="22"/>
  <c r="G16" i="22"/>
  <c r="F16" i="22"/>
  <c r="E16" i="22"/>
  <c r="G15" i="22"/>
  <c r="E67" i="15"/>
  <c r="E38" i="15" s="1"/>
  <c r="G38" i="15" s="1"/>
  <c r="D67" i="15"/>
  <c r="C67" i="15"/>
  <c r="G66" i="15"/>
  <c r="F66" i="15"/>
  <c r="H66" i="15" s="1"/>
  <c r="G65" i="15"/>
  <c r="F65" i="15"/>
  <c r="H65" i="15" s="1"/>
  <c r="G64" i="15"/>
  <c r="F64" i="15"/>
  <c r="H64" i="15" s="1"/>
  <c r="G63" i="15"/>
  <c r="F63" i="15"/>
  <c r="H63" i="15" s="1"/>
  <c r="G62" i="15"/>
  <c r="F62" i="15"/>
  <c r="H62" i="15" s="1"/>
  <c r="G61" i="15"/>
  <c r="F61" i="15"/>
  <c r="H61" i="15" s="1"/>
  <c r="G60" i="15"/>
  <c r="F60" i="15"/>
  <c r="H60" i="15" s="1"/>
  <c r="G59" i="15"/>
  <c r="F59" i="15"/>
  <c r="H59" i="15" s="1"/>
  <c r="G58" i="15"/>
  <c r="F58" i="15"/>
  <c r="H58" i="15" s="1"/>
  <c r="G57" i="15"/>
  <c r="F57" i="15"/>
  <c r="H57" i="15" s="1"/>
  <c r="G56" i="15"/>
  <c r="F56" i="15"/>
  <c r="H56" i="15" s="1"/>
  <c r="G55" i="15"/>
  <c r="F55" i="15"/>
  <c r="H55" i="15" s="1"/>
  <c r="G54" i="15"/>
  <c r="F54" i="15"/>
  <c r="H54" i="15" s="1"/>
  <c r="G53" i="15"/>
  <c r="F53" i="15"/>
  <c r="H53" i="15" s="1"/>
  <c r="G52" i="15"/>
  <c r="F52" i="15"/>
  <c r="H52" i="15" s="1"/>
  <c r="G51" i="15"/>
  <c r="F51" i="15"/>
  <c r="H51" i="15" s="1"/>
  <c r="G50" i="15"/>
  <c r="F50" i="15"/>
  <c r="H50" i="15" s="1"/>
  <c r="G49" i="15"/>
  <c r="F49" i="15"/>
  <c r="H49" i="15" s="1"/>
  <c r="G48" i="15"/>
  <c r="F48" i="15"/>
  <c r="F43" i="15"/>
  <c r="G41" i="15"/>
  <c r="G40" i="15"/>
  <c r="G37" i="15"/>
  <c r="F34" i="15"/>
  <c r="F35" i="15" s="1"/>
  <c r="E34" i="15"/>
  <c r="G33" i="15"/>
  <c r="G32" i="15"/>
  <c r="G31" i="15"/>
  <c r="F30" i="15"/>
  <c r="E30" i="15"/>
  <c r="G29" i="15"/>
  <c r="G28" i="15"/>
  <c r="G27" i="15"/>
  <c r="G26" i="15"/>
  <c r="E25" i="15"/>
  <c r="G24" i="15"/>
  <c r="G23" i="15"/>
  <c r="G22" i="15"/>
  <c r="G21" i="15"/>
  <c r="F20" i="15"/>
  <c r="E20" i="15"/>
  <c r="G19" i="15"/>
  <c r="G18" i="15"/>
  <c r="G16" i="15"/>
  <c r="F16" i="15"/>
  <c r="E16" i="15"/>
  <c r="G15" i="15"/>
  <c r="E67" i="14"/>
  <c r="E38" i="14" s="1"/>
  <c r="G38" i="14" s="1"/>
  <c r="D67" i="14"/>
  <c r="C67" i="14"/>
  <c r="G66" i="14"/>
  <c r="F66" i="14"/>
  <c r="H66" i="14" s="1"/>
  <c r="G65" i="14"/>
  <c r="F65" i="14"/>
  <c r="H65" i="14" s="1"/>
  <c r="G64" i="14"/>
  <c r="F64" i="14"/>
  <c r="H64" i="14" s="1"/>
  <c r="G63" i="14"/>
  <c r="F63" i="14"/>
  <c r="H63" i="14" s="1"/>
  <c r="G62" i="14"/>
  <c r="F62" i="14"/>
  <c r="H62" i="14" s="1"/>
  <c r="G61" i="14"/>
  <c r="F61" i="14"/>
  <c r="H61" i="14" s="1"/>
  <c r="G60" i="14"/>
  <c r="F60" i="14"/>
  <c r="H60" i="14" s="1"/>
  <c r="G59" i="14"/>
  <c r="F59" i="14"/>
  <c r="H59" i="14" s="1"/>
  <c r="G58" i="14"/>
  <c r="F58" i="14"/>
  <c r="H58" i="14" s="1"/>
  <c r="F57" i="14"/>
  <c r="H57" i="14" s="1"/>
  <c r="G56" i="14"/>
  <c r="F56" i="14"/>
  <c r="G55" i="14"/>
  <c r="F55" i="14"/>
  <c r="H55" i="14" s="1"/>
  <c r="G54" i="14"/>
  <c r="F54" i="14"/>
  <c r="G53" i="14"/>
  <c r="F53" i="14"/>
  <c r="G52" i="14"/>
  <c r="F52" i="14"/>
  <c r="G51" i="14"/>
  <c r="F51" i="14"/>
  <c r="H51" i="14" s="1"/>
  <c r="G50" i="14"/>
  <c r="F50" i="14"/>
  <c r="G49" i="14"/>
  <c r="F49" i="14"/>
  <c r="G48" i="14"/>
  <c r="F48" i="14"/>
  <c r="F43" i="14"/>
  <c r="G41" i="14"/>
  <c r="G40" i="14"/>
  <c r="G37" i="14"/>
  <c r="F35" i="14"/>
  <c r="F34" i="14"/>
  <c r="E34" i="14"/>
  <c r="G33" i="14"/>
  <c r="G32" i="14"/>
  <c r="G34" i="14" s="1"/>
  <c r="G31" i="14"/>
  <c r="F30" i="14"/>
  <c r="E30" i="14"/>
  <c r="G29" i="14"/>
  <c r="G28" i="14"/>
  <c r="G27" i="14"/>
  <c r="G26" i="14"/>
  <c r="E25" i="14"/>
  <c r="G24" i="14"/>
  <c r="G23" i="14"/>
  <c r="G22" i="14"/>
  <c r="G25" i="14" s="1"/>
  <c r="G21" i="14"/>
  <c r="F20" i="14"/>
  <c r="E20" i="14"/>
  <c r="G19" i="14"/>
  <c r="G18" i="14"/>
  <c r="G20" i="14" s="1"/>
  <c r="F16" i="14"/>
  <c r="E16" i="14"/>
  <c r="G15" i="14"/>
  <c r="G16" i="14" s="1"/>
  <c r="E67" i="13"/>
  <c r="D67" i="13"/>
  <c r="C67" i="13"/>
  <c r="G66" i="13"/>
  <c r="F66" i="13"/>
  <c r="G65" i="13"/>
  <c r="F65" i="13"/>
  <c r="H65" i="13" s="1"/>
  <c r="G64" i="13"/>
  <c r="F64" i="13"/>
  <c r="H64" i="13" s="1"/>
  <c r="G63" i="13"/>
  <c r="F63" i="13"/>
  <c r="H63" i="13" s="1"/>
  <c r="G62" i="13"/>
  <c r="F62" i="13"/>
  <c r="G61" i="13"/>
  <c r="F61" i="13"/>
  <c r="H61" i="13" s="1"/>
  <c r="G60" i="13"/>
  <c r="F60" i="13"/>
  <c r="H60" i="13" s="1"/>
  <c r="G59" i="13"/>
  <c r="F59" i="13"/>
  <c r="H59" i="13" s="1"/>
  <c r="G58" i="13"/>
  <c r="F58" i="13"/>
  <c r="G57" i="13"/>
  <c r="F57" i="13"/>
  <c r="H57" i="13" s="1"/>
  <c r="G56" i="13"/>
  <c r="F56" i="13"/>
  <c r="H56" i="13" s="1"/>
  <c r="G55" i="13"/>
  <c r="F55" i="13"/>
  <c r="H55" i="13" s="1"/>
  <c r="G54" i="13"/>
  <c r="F54" i="13"/>
  <c r="G53" i="13"/>
  <c r="F53" i="13"/>
  <c r="H53" i="13" s="1"/>
  <c r="G52" i="13"/>
  <c r="F52" i="13"/>
  <c r="H52" i="13" s="1"/>
  <c r="G51" i="13"/>
  <c r="F51" i="13"/>
  <c r="H51" i="13" s="1"/>
  <c r="G50" i="13"/>
  <c r="F50" i="13"/>
  <c r="G49" i="13"/>
  <c r="F49" i="13"/>
  <c r="H49" i="13" s="1"/>
  <c r="G48" i="13"/>
  <c r="F48" i="13"/>
  <c r="F43" i="13"/>
  <c r="G41" i="13"/>
  <c r="G40" i="13"/>
  <c r="G38" i="13"/>
  <c r="E38" i="13"/>
  <c r="G37" i="13"/>
  <c r="F34" i="13"/>
  <c r="F35" i="13" s="1"/>
  <c r="E34" i="13"/>
  <c r="G33" i="13"/>
  <c r="G32" i="13"/>
  <c r="G34" i="13" s="1"/>
  <c r="G31" i="13"/>
  <c r="F30" i="13"/>
  <c r="E30" i="13"/>
  <c r="G29" i="13"/>
  <c r="G28" i="13"/>
  <c r="G27" i="13"/>
  <c r="G26" i="13"/>
  <c r="E25" i="13"/>
  <c r="G24" i="13"/>
  <c r="G23" i="13"/>
  <c r="G22" i="13"/>
  <c r="G25" i="13" s="1"/>
  <c r="G21" i="13"/>
  <c r="F20" i="13"/>
  <c r="E20" i="13"/>
  <c r="G19" i="13"/>
  <c r="G18" i="13"/>
  <c r="G20" i="13" s="1"/>
  <c r="G16" i="13"/>
  <c r="F16" i="13"/>
  <c r="E16" i="13"/>
  <c r="G15" i="13"/>
  <c r="E67" i="12"/>
  <c r="D67" i="12"/>
  <c r="C67" i="12"/>
  <c r="G66" i="12"/>
  <c r="F66" i="12"/>
  <c r="G65" i="12"/>
  <c r="F65" i="12"/>
  <c r="H65" i="12" s="1"/>
  <c r="G64" i="12"/>
  <c r="F64" i="12"/>
  <c r="H64" i="12" s="1"/>
  <c r="G63" i="12"/>
  <c r="F63" i="12"/>
  <c r="H63" i="12" s="1"/>
  <c r="G62" i="12"/>
  <c r="F62" i="12"/>
  <c r="G61" i="12"/>
  <c r="F61" i="12"/>
  <c r="H61" i="12" s="1"/>
  <c r="G60" i="12"/>
  <c r="F60" i="12"/>
  <c r="H60" i="12" s="1"/>
  <c r="G59" i="12"/>
  <c r="F59" i="12"/>
  <c r="H59" i="12" s="1"/>
  <c r="G58" i="12"/>
  <c r="F58" i="12"/>
  <c r="G57" i="12"/>
  <c r="F57" i="12"/>
  <c r="H57" i="12" s="1"/>
  <c r="G56" i="12"/>
  <c r="F56" i="12"/>
  <c r="H56" i="12" s="1"/>
  <c r="G55" i="12"/>
  <c r="F55" i="12"/>
  <c r="H55" i="12" s="1"/>
  <c r="G54" i="12"/>
  <c r="F54" i="12"/>
  <c r="G53" i="12"/>
  <c r="F53" i="12"/>
  <c r="H53" i="12" s="1"/>
  <c r="G52" i="12"/>
  <c r="F52" i="12"/>
  <c r="H52" i="12" s="1"/>
  <c r="G51" i="12"/>
  <c r="F51" i="12"/>
  <c r="H51" i="12" s="1"/>
  <c r="G50" i="12"/>
  <c r="F50" i="12"/>
  <c r="G49" i="12"/>
  <c r="F49" i="12"/>
  <c r="H49" i="12" s="1"/>
  <c r="G48" i="12"/>
  <c r="F48" i="12"/>
  <c r="F43" i="12"/>
  <c r="G41" i="12"/>
  <c r="G40" i="12"/>
  <c r="G38" i="12"/>
  <c r="E38" i="12"/>
  <c r="G37" i="12"/>
  <c r="F34" i="12"/>
  <c r="F35" i="12" s="1"/>
  <c r="E34" i="12"/>
  <c r="G33" i="12"/>
  <c r="G32" i="12"/>
  <c r="G34" i="12" s="1"/>
  <c r="G31" i="12"/>
  <c r="F30" i="12"/>
  <c r="E30" i="12"/>
  <c r="G29" i="12"/>
  <c r="G28" i="12"/>
  <c r="G27" i="12"/>
  <c r="G26" i="12"/>
  <c r="E25" i="12"/>
  <c r="G24" i="12"/>
  <c r="G23" i="12"/>
  <c r="G22" i="12"/>
  <c r="G21" i="12"/>
  <c r="F20" i="12"/>
  <c r="E20" i="12"/>
  <c r="G19" i="12"/>
  <c r="G18" i="12"/>
  <c r="G20" i="12" s="1"/>
  <c r="G16" i="12"/>
  <c r="F16" i="12"/>
  <c r="E16" i="12"/>
  <c r="G15" i="12"/>
  <c r="E67" i="11"/>
  <c r="D67" i="11"/>
  <c r="C67" i="11"/>
  <c r="G66" i="11"/>
  <c r="F66" i="11"/>
  <c r="G65" i="11"/>
  <c r="F65" i="11"/>
  <c r="H65" i="11" s="1"/>
  <c r="G64" i="11"/>
  <c r="F64" i="11"/>
  <c r="H64" i="11" s="1"/>
  <c r="G63" i="11"/>
  <c r="F63" i="11"/>
  <c r="H63" i="11" s="1"/>
  <c r="G62" i="11"/>
  <c r="F62" i="11"/>
  <c r="G61" i="11"/>
  <c r="F61" i="11"/>
  <c r="H61" i="11" s="1"/>
  <c r="G60" i="11"/>
  <c r="F60" i="11"/>
  <c r="H60" i="11" s="1"/>
  <c r="G59" i="11"/>
  <c r="F59" i="11"/>
  <c r="H59" i="11" s="1"/>
  <c r="G58" i="11"/>
  <c r="F58" i="11"/>
  <c r="G57" i="11"/>
  <c r="F57" i="11"/>
  <c r="H57" i="11" s="1"/>
  <c r="G56" i="11"/>
  <c r="F56" i="11"/>
  <c r="H56" i="11" s="1"/>
  <c r="G55" i="11"/>
  <c r="F55" i="11"/>
  <c r="H55" i="11" s="1"/>
  <c r="G54" i="11"/>
  <c r="F54" i="11"/>
  <c r="G53" i="11"/>
  <c r="F53" i="11"/>
  <c r="H53" i="11" s="1"/>
  <c r="G52" i="11"/>
  <c r="F52" i="11"/>
  <c r="H52" i="11" s="1"/>
  <c r="G51" i="11"/>
  <c r="F51" i="11"/>
  <c r="H51" i="11" s="1"/>
  <c r="G50" i="11"/>
  <c r="F50" i="11"/>
  <c r="G49" i="11"/>
  <c r="F49" i="11"/>
  <c r="H49" i="11" s="1"/>
  <c r="G48" i="11"/>
  <c r="F48" i="11"/>
  <c r="F43" i="11"/>
  <c r="G41" i="11"/>
  <c r="G40" i="11"/>
  <c r="G38" i="11"/>
  <c r="E38" i="11"/>
  <c r="G37" i="11"/>
  <c r="F34" i="11"/>
  <c r="F35" i="11" s="1"/>
  <c r="E34" i="11"/>
  <c r="G33" i="11"/>
  <c r="G32" i="11"/>
  <c r="G34" i="11" s="1"/>
  <c r="G31" i="11"/>
  <c r="F30" i="11"/>
  <c r="E30" i="11"/>
  <c r="G29" i="11"/>
  <c r="G28" i="11"/>
  <c r="G27" i="11"/>
  <c r="G26" i="11"/>
  <c r="E25" i="11"/>
  <c r="G24" i="11"/>
  <c r="G23" i="11"/>
  <c r="G22" i="11"/>
  <c r="G25" i="11" s="1"/>
  <c r="G21" i="11"/>
  <c r="F20" i="11"/>
  <c r="E20" i="11"/>
  <c r="G19" i="11"/>
  <c r="G18" i="11"/>
  <c r="G20" i="11" s="1"/>
  <c r="G16" i="11"/>
  <c r="F16" i="11"/>
  <c r="E16" i="11"/>
  <c r="G15" i="11"/>
  <c r="E67" i="23"/>
  <c r="D67" i="23"/>
  <c r="C67" i="23"/>
  <c r="G66" i="23"/>
  <c r="F66" i="23"/>
  <c r="G65" i="23"/>
  <c r="F65" i="23"/>
  <c r="H65" i="23" s="1"/>
  <c r="G64" i="23"/>
  <c r="F64" i="23"/>
  <c r="H64" i="23" s="1"/>
  <c r="G63" i="23"/>
  <c r="F63" i="23"/>
  <c r="H63" i="23" s="1"/>
  <c r="G62" i="23"/>
  <c r="F62" i="23"/>
  <c r="G61" i="23"/>
  <c r="F61" i="23"/>
  <c r="H61" i="23" s="1"/>
  <c r="G60" i="23"/>
  <c r="F60" i="23"/>
  <c r="H60" i="23" s="1"/>
  <c r="G59" i="23"/>
  <c r="F59" i="23"/>
  <c r="H59" i="23" s="1"/>
  <c r="G58" i="23"/>
  <c r="F58" i="23"/>
  <c r="G57" i="23"/>
  <c r="F57" i="23"/>
  <c r="H57" i="23" s="1"/>
  <c r="G56" i="23"/>
  <c r="F56" i="23"/>
  <c r="H56" i="23" s="1"/>
  <c r="G55" i="23"/>
  <c r="F55" i="23"/>
  <c r="H55" i="23" s="1"/>
  <c r="G54" i="23"/>
  <c r="F54" i="23"/>
  <c r="G53" i="23"/>
  <c r="F53" i="23"/>
  <c r="H53" i="23" s="1"/>
  <c r="G52" i="23"/>
  <c r="F52" i="23"/>
  <c r="H52" i="23" s="1"/>
  <c r="G51" i="23"/>
  <c r="F51" i="23"/>
  <c r="H51" i="23" s="1"/>
  <c r="G50" i="23"/>
  <c r="F50" i="23"/>
  <c r="G49" i="23"/>
  <c r="F49" i="23"/>
  <c r="H49" i="23" s="1"/>
  <c r="G48" i="23"/>
  <c r="F48" i="23"/>
  <c r="F43" i="23"/>
  <c r="G41" i="23"/>
  <c r="G40" i="23"/>
  <c r="E38" i="23"/>
  <c r="G37" i="23"/>
  <c r="F34" i="23"/>
  <c r="F35" i="23" s="1"/>
  <c r="E34" i="23"/>
  <c r="G33" i="23"/>
  <c r="G32" i="23"/>
  <c r="G34" i="23" s="1"/>
  <c r="G31" i="23"/>
  <c r="F30" i="23"/>
  <c r="E30" i="23"/>
  <c r="G29" i="23"/>
  <c r="G28" i="23"/>
  <c r="G27" i="23"/>
  <c r="G30" i="23" s="1"/>
  <c r="G26" i="23"/>
  <c r="E25" i="23"/>
  <c r="G24" i="23"/>
  <c r="G23" i="23"/>
  <c r="G22" i="23"/>
  <c r="G21" i="23"/>
  <c r="F20" i="23"/>
  <c r="E20" i="23"/>
  <c r="G19" i="23"/>
  <c r="G18" i="23"/>
  <c r="G20" i="23" s="1"/>
  <c r="F16" i="23"/>
  <c r="E16" i="23"/>
  <c r="E35" i="23" s="1"/>
  <c r="G15" i="23"/>
  <c r="G16" i="23" s="1"/>
  <c r="G54" i="8"/>
  <c r="G52" i="8"/>
  <c r="G51" i="8"/>
  <c r="G61" i="8"/>
  <c r="G44" i="25" l="1"/>
  <c r="G45" i="25" s="1"/>
  <c r="G46" i="25" s="1"/>
  <c r="E39" i="25"/>
  <c r="E43" i="25" s="1"/>
  <c r="F67" i="22"/>
  <c r="F67" i="17"/>
  <c r="F67" i="23"/>
  <c r="G30" i="11"/>
  <c r="F67" i="11"/>
  <c r="G30" i="12"/>
  <c r="F67" i="12"/>
  <c r="G30" i="13"/>
  <c r="F67" i="13"/>
  <c r="G30" i="14"/>
  <c r="G35" i="14" s="1"/>
  <c r="F67" i="14"/>
  <c r="H52" i="14"/>
  <c r="H56" i="14"/>
  <c r="G67" i="15"/>
  <c r="G67" i="22"/>
  <c r="G67" i="17"/>
  <c r="I50" i="20"/>
  <c r="G30" i="22"/>
  <c r="G67" i="23"/>
  <c r="G67" i="11"/>
  <c r="G67" i="12"/>
  <c r="G67" i="13"/>
  <c r="G67" i="14"/>
  <c r="E35" i="15"/>
  <c r="G25" i="15"/>
  <c r="G43" i="15"/>
  <c r="E35" i="22"/>
  <c r="G43" i="22"/>
  <c r="E35" i="17"/>
  <c r="G43" i="17"/>
  <c r="F35" i="18"/>
  <c r="G20" i="19"/>
  <c r="G35" i="19" s="1"/>
  <c r="G34" i="19"/>
  <c r="G43" i="19"/>
  <c r="F67" i="15"/>
  <c r="E35" i="11"/>
  <c r="G43" i="11"/>
  <c r="E35" i="12"/>
  <c r="G25" i="12"/>
  <c r="G43" i="12"/>
  <c r="G45" i="12" s="1"/>
  <c r="G46" i="12" s="1"/>
  <c r="E35" i="13"/>
  <c r="G43" i="13"/>
  <c r="E35" i="14"/>
  <c r="G43" i="14"/>
  <c r="H49" i="14"/>
  <c r="H53" i="14"/>
  <c r="G30" i="15"/>
  <c r="G30" i="17"/>
  <c r="H43" i="20"/>
  <c r="G35" i="23"/>
  <c r="G44" i="23" s="1"/>
  <c r="G25" i="23"/>
  <c r="H50" i="23"/>
  <c r="H54" i="23"/>
  <c r="H58" i="23"/>
  <c r="H62" i="23"/>
  <c r="H66" i="23"/>
  <c r="G35" i="11"/>
  <c r="G44" i="11" s="1"/>
  <c r="H50" i="11"/>
  <c r="H54" i="11"/>
  <c r="H58" i="11"/>
  <c r="H62" i="11"/>
  <c r="H66" i="11"/>
  <c r="G35" i="12"/>
  <c r="H50" i="12"/>
  <c r="H54" i="12"/>
  <c r="H58" i="12"/>
  <c r="H62" i="12"/>
  <c r="H66" i="12"/>
  <c r="H50" i="13"/>
  <c r="H54" i="13"/>
  <c r="H58" i="13"/>
  <c r="H62" i="13"/>
  <c r="H66" i="13"/>
  <c r="H50" i="14"/>
  <c r="H54" i="14"/>
  <c r="G20" i="15"/>
  <c r="G34" i="15"/>
  <c r="G35" i="15" s="1"/>
  <c r="G20" i="22"/>
  <c r="G34" i="22"/>
  <c r="G35" i="22" s="1"/>
  <c r="G20" i="17"/>
  <c r="G34" i="17"/>
  <c r="G35" i="17" s="1"/>
  <c r="G67" i="18"/>
  <c r="I52" i="18"/>
  <c r="I56" i="18"/>
  <c r="I60" i="18"/>
  <c r="I64" i="18"/>
  <c r="G30" i="19"/>
  <c r="F67" i="19"/>
  <c r="H52" i="19"/>
  <c r="H56" i="19"/>
  <c r="H60" i="19"/>
  <c r="H64" i="19"/>
  <c r="H30" i="20"/>
  <c r="H35" i="20" s="1"/>
  <c r="G67" i="20"/>
  <c r="I52" i="20"/>
  <c r="I56" i="20"/>
  <c r="I60" i="20"/>
  <c r="I64" i="20"/>
  <c r="I48" i="20"/>
  <c r="H48" i="19"/>
  <c r="H67" i="19" s="1"/>
  <c r="H35" i="18"/>
  <c r="H38" i="18"/>
  <c r="H43" i="18" s="1"/>
  <c r="I48" i="18"/>
  <c r="I67" i="18" s="1"/>
  <c r="H48" i="17"/>
  <c r="H67" i="17" s="1"/>
  <c r="H48" i="22"/>
  <c r="H67" i="22" s="1"/>
  <c r="H48" i="15"/>
  <c r="H67" i="15" s="1"/>
  <c r="H48" i="14"/>
  <c r="G35" i="13"/>
  <c r="H48" i="13"/>
  <c r="G44" i="12"/>
  <c r="E39" i="12"/>
  <c r="E43" i="12" s="1"/>
  <c r="H48" i="12"/>
  <c r="H48" i="11"/>
  <c r="E39" i="23"/>
  <c r="E43" i="23" s="1"/>
  <c r="G38" i="23"/>
  <c r="G43" i="23" s="1"/>
  <c r="H48" i="23"/>
  <c r="G44" i="22" l="1"/>
  <c r="E39" i="22"/>
  <c r="E43" i="22" s="1"/>
  <c r="G45" i="22"/>
  <c r="G46" i="22" s="1"/>
  <c r="E39" i="17"/>
  <c r="E43" i="17" s="1"/>
  <c r="G44" i="17"/>
  <c r="G45" i="17" s="1"/>
  <c r="G46" i="17" s="1"/>
  <c r="G44" i="19"/>
  <c r="G45" i="19" s="1"/>
  <c r="G46" i="19" s="1"/>
  <c r="E39" i="19"/>
  <c r="E43" i="19" s="1"/>
  <c r="H44" i="20"/>
  <c r="H45" i="20" s="1"/>
  <c r="H46" i="20" s="1"/>
  <c r="F39" i="20"/>
  <c r="F43" i="20" s="1"/>
  <c r="G44" i="15"/>
  <c r="G45" i="15" s="1"/>
  <c r="G46" i="15" s="1"/>
  <c r="E39" i="15"/>
  <c r="E43" i="15" s="1"/>
  <c r="G45" i="11"/>
  <c r="G46" i="11" s="1"/>
  <c r="G44" i="14"/>
  <c r="G45" i="14" s="1"/>
  <c r="G46" i="14" s="1"/>
  <c r="E39" i="14"/>
  <c r="E43" i="14" s="1"/>
  <c r="H67" i="13"/>
  <c r="H67" i="11"/>
  <c r="H67" i="14"/>
  <c r="H67" i="23"/>
  <c r="G45" i="23"/>
  <c r="G46" i="23" s="1"/>
  <c r="E39" i="11"/>
  <c r="E43" i="11" s="1"/>
  <c r="I67" i="20"/>
  <c r="H67" i="12"/>
  <c r="H44" i="18"/>
  <c r="H45" i="18" s="1"/>
  <c r="H46" i="18" s="1"/>
  <c r="F39" i="18"/>
  <c r="F43" i="18" s="1"/>
  <c r="G44" i="13"/>
  <c r="G45" i="13" s="1"/>
  <c r="G46" i="13" s="1"/>
  <c r="E39" i="13"/>
  <c r="E43" i="13" s="1"/>
  <c r="E67" i="24" l="1"/>
  <c r="D67" i="24"/>
  <c r="C67" i="24"/>
  <c r="G66" i="24"/>
  <c r="F66" i="24"/>
  <c r="H66" i="24" s="1"/>
  <c r="G65" i="24"/>
  <c r="F65" i="24"/>
  <c r="H65" i="24" s="1"/>
  <c r="G64" i="24"/>
  <c r="F64" i="24"/>
  <c r="G63" i="24"/>
  <c r="F63" i="24"/>
  <c r="H63" i="24" s="1"/>
  <c r="G62" i="24"/>
  <c r="F62" i="24"/>
  <c r="H62" i="24" s="1"/>
  <c r="G61" i="24"/>
  <c r="F61" i="24"/>
  <c r="H61" i="24" s="1"/>
  <c r="G60" i="24"/>
  <c r="F60" i="24"/>
  <c r="G59" i="24"/>
  <c r="F59" i="24"/>
  <c r="H59" i="24" s="1"/>
  <c r="G58" i="24"/>
  <c r="F58" i="24"/>
  <c r="H58" i="24" s="1"/>
  <c r="G57" i="24"/>
  <c r="F57" i="24"/>
  <c r="H57" i="24" s="1"/>
  <c r="G56" i="24"/>
  <c r="F56" i="24"/>
  <c r="G55" i="24"/>
  <c r="F55" i="24"/>
  <c r="H55" i="24" s="1"/>
  <c r="G54" i="24"/>
  <c r="F54" i="24"/>
  <c r="H54" i="24" s="1"/>
  <c r="G53" i="24"/>
  <c r="F53" i="24"/>
  <c r="H53" i="24" s="1"/>
  <c r="G52" i="24"/>
  <c r="F52" i="24"/>
  <c r="G51" i="24"/>
  <c r="F51" i="24"/>
  <c r="H51" i="24" s="1"/>
  <c r="G50" i="24"/>
  <c r="F50" i="24"/>
  <c r="H50" i="24" s="1"/>
  <c r="G49" i="24"/>
  <c r="F49" i="24"/>
  <c r="H49" i="24" s="1"/>
  <c r="G48" i="24"/>
  <c r="G67" i="24" s="1"/>
  <c r="F48" i="24"/>
  <c r="F43" i="24"/>
  <c r="G41" i="24"/>
  <c r="G40" i="24"/>
  <c r="E38" i="24"/>
  <c r="G38" i="24" s="1"/>
  <c r="G37" i="24"/>
  <c r="F35" i="24"/>
  <c r="F34" i="24"/>
  <c r="E34" i="24"/>
  <c r="G33" i="24"/>
  <c r="G32" i="24"/>
  <c r="G31" i="24"/>
  <c r="F30" i="24"/>
  <c r="E30" i="24"/>
  <c r="G29" i="24"/>
  <c r="G28" i="24"/>
  <c r="G27" i="24"/>
  <c r="G26" i="24"/>
  <c r="E25" i="24"/>
  <c r="G24" i="24"/>
  <c r="G23" i="24"/>
  <c r="G22" i="24"/>
  <c r="G25" i="24" s="1"/>
  <c r="G21" i="24"/>
  <c r="F20" i="24"/>
  <c r="E20" i="24"/>
  <c r="G19" i="24"/>
  <c r="G18" i="24"/>
  <c r="F16" i="24"/>
  <c r="E16" i="24"/>
  <c r="G15" i="24"/>
  <c r="G16" i="24" s="1"/>
  <c r="E67" i="9"/>
  <c r="D67" i="9"/>
  <c r="C67" i="9"/>
  <c r="G66" i="9"/>
  <c r="F66" i="9"/>
  <c r="H66" i="9" s="1"/>
  <c r="G65" i="9"/>
  <c r="F65" i="9"/>
  <c r="H65" i="9" s="1"/>
  <c r="G64" i="9"/>
  <c r="F64" i="9"/>
  <c r="G63" i="9"/>
  <c r="F63" i="9"/>
  <c r="H63" i="9" s="1"/>
  <c r="G62" i="9"/>
  <c r="F62" i="9"/>
  <c r="H62" i="9" s="1"/>
  <c r="G61" i="9"/>
  <c r="F61" i="9"/>
  <c r="H61" i="9" s="1"/>
  <c r="G60" i="9"/>
  <c r="F60" i="9"/>
  <c r="G59" i="9"/>
  <c r="F59" i="9"/>
  <c r="H59" i="9" s="1"/>
  <c r="G58" i="9"/>
  <c r="F58" i="9"/>
  <c r="H58" i="9" s="1"/>
  <c r="G57" i="9"/>
  <c r="F57" i="9"/>
  <c r="H57" i="9" s="1"/>
  <c r="G56" i="9"/>
  <c r="F56" i="9"/>
  <c r="G55" i="9"/>
  <c r="F55" i="9"/>
  <c r="H55" i="9" s="1"/>
  <c r="G54" i="9"/>
  <c r="F54" i="9"/>
  <c r="H54" i="9" s="1"/>
  <c r="G53" i="9"/>
  <c r="F53" i="9"/>
  <c r="H53" i="9" s="1"/>
  <c r="G52" i="9"/>
  <c r="F52" i="9"/>
  <c r="G51" i="9"/>
  <c r="F51" i="9"/>
  <c r="H51" i="9" s="1"/>
  <c r="G50" i="9"/>
  <c r="F50" i="9"/>
  <c r="H50" i="9" s="1"/>
  <c r="G49" i="9"/>
  <c r="F49" i="9"/>
  <c r="H49" i="9" s="1"/>
  <c r="G48" i="9"/>
  <c r="G67" i="9" s="1"/>
  <c r="F48" i="9"/>
  <c r="F43" i="9"/>
  <c r="G41" i="9"/>
  <c r="G40" i="9"/>
  <c r="E38" i="9"/>
  <c r="G38" i="9" s="1"/>
  <c r="G37" i="9"/>
  <c r="F35" i="9"/>
  <c r="F34" i="9"/>
  <c r="E34" i="9"/>
  <c r="G33" i="9"/>
  <c r="G32" i="9"/>
  <c r="G31" i="9"/>
  <c r="F30" i="9"/>
  <c r="E30" i="9"/>
  <c r="G29" i="9"/>
  <c r="G28" i="9"/>
  <c r="G27" i="9"/>
  <c r="G26" i="9"/>
  <c r="E25" i="9"/>
  <c r="G24" i="9"/>
  <c r="G23" i="9"/>
  <c r="G22" i="9"/>
  <c r="G25" i="9" s="1"/>
  <c r="G21" i="9"/>
  <c r="F20" i="9"/>
  <c r="E20" i="9"/>
  <c r="G19" i="9"/>
  <c r="G18" i="9"/>
  <c r="F16" i="9"/>
  <c r="E16" i="9"/>
  <c r="E35" i="9" s="1"/>
  <c r="G15" i="9"/>
  <c r="G16" i="9" s="1"/>
  <c r="E67" i="6"/>
  <c r="D67" i="6"/>
  <c r="C67" i="6"/>
  <c r="G66" i="6"/>
  <c r="F66" i="6"/>
  <c r="H66" i="6" s="1"/>
  <c r="G65" i="6"/>
  <c r="F65" i="6"/>
  <c r="H65" i="6" s="1"/>
  <c r="G64" i="6"/>
  <c r="F64" i="6"/>
  <c r="G63" i="6"/>
  <c r="F63" i="6"/>
  <c r="H63" i="6" s="1"/>
  <c r="G62" i="6"/>
  <c r="F62" i="6"/>
  <c r="H62" i="6" s="1"/>
  <c r="G61" i="6"/>
  <c r="F61" i="6"/>
  <c r="H61" i="6" s="1"/>
  <c r="G60" i="6"/>
  <c r="F60" i="6"/>
  <c r="G59" i="6"/>
  <c r="F59" i="6"/>
  <c r="H59" i="6" s="1"/>
  <c r="G58" i="6"/>
  <c r="F58" i="6"/>
  <c r="H58" i="6" s="1"/>
  <c r="G57" i="6"/>
  <c r="F57" i="6"/>
  <c r="H57" i="6" s="1"/>
  <c r="G56" i="6"/>
  <c r="F56" i="6"/>
  <c r="G55" i="6"/>
  <c r="F55" i="6"/>
  <c r="H55" i="6" s="1"/>
  <c r="G54" i="6"/>
  <c r="F54" i="6"/>
  <c r="H54" i="6" s="1"/>
  <c r="G53" i="6"/>
  <c r="F53" i="6"/>
  <c r="H53" i="6" s="1"/>
  <c r="G52" i="6"/>
  <c r="F52" i="6"/>
  <c r="G51" i="6"/>
  <c r="F51" i="6"/>
  <c r="H51" i="6" s="1"/>
  <c r="G50" i="6"/>
  <c r="F50" i="6"/>
  <c r="H50" i="6" s="1"/>
  <c r="G49" i="6"/>
  <c r="F49" i="6"/>
  <c r="H49" i="6" s="1"/>
  <c r="G48" i="6"/>
  <c r="G67" i="6" s="1"/>
  <c r="F48" i="6"/>
  <c r="F43" i="6"/>
  <c r="G41" i="6"/>
  <c r="G40" i="6"/>
  <c r="E38" i="6"/>
  <c r="G38" i="6" s="1"/>
  <c r="G37" i="6"/>
  <c r="F35" i="6"/>
  <c r="F34" i="6"/>
  <c r="E34" i="6"/>
  <c r="G33" i="6"/>
  <c r="G32" i="6"/>
  <c r="G31" i="6"/>
  <c r="F30" i="6"/>
  <c r="E30" i="6"/>
  <c r="G29" i="6"/>
  <c r="G28" i="6"/>
  <c r="G27" i="6"/>
  <c r="G26" i="6"/>
  <c r="E25" i="6"/>
  <c r="G24" i="6"/>
  <c r="G23" i="6"/>
  <c r="G22" i="6"/>
  <c r="G25" i="6" s="1"/>
  <c r="G21" i="6"/>
  <c r="F20" i="6"/>
  <c r="E20" i="6"/>
  <c r="G19" i="6"/>
  <c r="G18" i="6"/>
  <c r="F16" i="6"/>
  <c r="E16" i="6"/>
  <c r="E35" i="6" s="1"/>
  <c r="G15" i="6"/>
  <c r="G16" i="6" s="1"/>
  <c r="E67" i="4"/>
  <c r="D67" i="4"/>
  <c r="C67" i="4"/>
  <c r="G66" i="4"/>
  <c r="F66" i="4"/>
  <c r="H66" i="4" s="1"/>
  <c r="G65" i="4"/>
  <c r="F65" i="4"/>
  <c r="H65" i="4" s="1"/>
  <c r="G64" i="4"/>
  <c r="F64" i="4"/>
  <c r="G63" i="4"/>
  <c r="F63" i="4"/>
  <c r="H63" i="4" s="1"/>
  <c r="G62" i="4"/>
  <c r="F62" i="4"/>
  <c r="H62" i="4" s="1"/>
  <c r="G61" i="4"/>
  <c r="F61" i="4"/>
  <c r="H61" i="4" s="1"/>
  <c r="G60" i="4"/>
  <c r="F60" i="4"/>
  <c r="G59" i="4"/>
  <c r="F59" i="4"/>
  <c r="H59" i="4" s="1"/>
  <c r="G58" i="4"/>
  <c r="F58" i="4"/>
  <c r="H58" i="4" s="1"/>
  <c r="G57" i="4"/>
  <c r="F57" i="4"/>
  <c r="H57" i="4" s="1"/>
  <c r="G56" i="4"/>
  <c r="F56" i="4"/>
  <c r="G55" i="4"/>
  <c r="F55" i="4"/>
  <c r="H55" i="4" s="1"/>
  <c r="G54" i="4"/>
  <c r="F54" i="4"/>
  <c r="H54" i="4" s="1"/>
  <c r="G53" i="4"/>
  <c r="F53" i="4"/>
  <c r="H53" i="4" s="1"/>
  <c r="G52" i="4"/>
  <c r="F52" i="4"/>
  <c r="G51" i="4"/>
  <c r="F51" i="4"/>
  <c r="H51" i="4" s="1"/>
  <c r="G50" i="4"/>
  <c r="F50" i="4"/>
  <c r="H50" i="4" s="1"/>
  <c r="G49" i="4"/>
  <c r="F49" i="4"/>
  <c r="H49" i="4" s="1"/>
  <c r="G48" i="4"/>
  <c r="G67" i="4" s="1"/>
  <c r="F48" i="4"/>
  <c r="F43" i="4"/>
  <c r="G41" i="4"/>
  <c r="G40" i="4"/>
  <c r="E38" i="4"/>
  <c r="G38" i="4" s="1"/>
  <c r="G37" i="4"/>
  <c r="F35" i="4"/>
  <c r="F34" i="4"/>
  <c r="E34" i="4"/>
  <c r="G33" i="4"/>
  <c r="G32" i="4"/>
  <c r="G31" i="4"/>
  <c r="F30" i="4"/>
  <c r="E30" i="4"/>
  <c r="G29" i="4"/>
  <c r="G28" i="4"/>
  <c r="G27" i="4"/>
  <c r="G26" i="4"/>
  <c r="E25" i="4"/>
  <c r="G24" i="4"/>
  <c r="G23" i="4"/>
  <c r="G22" i="4"/>
  <c r="G25" i="4" s="1"/>
  <c r="G21" i="4"/>
  <c r="F20" i="4"/>
  <c r="E20" i="4"/>
  <c r="G19" i="4"/>
  <c r="G18" i="4"/>
  <c r="G20" i="4" s="1"/>
  <c r="F16" i="4"/>
  <c r="E16" i="4"/>
  <c r="E35" i="4" s="1"/>
  <c r="G15" i="4"/>
  <c r="G16" i="4" s="1"/>
  <c r="E67" i="8"/>
  <c r="D67" i="8"/>
  <c r="C67" i="8"/>
  <c r="G66" i="8"/>
  <c r="F66" i="8"/>
  <c r="H66" i="8" s="1"/>
  <c r="G65" i="8"/>
  <c r="F65" i="8"/>
  <c r="H65" i="8" s="1"/>
  <c r="G64" i="8"/>
  <c r="F64" i="8"/>
  <c r="G63" i="8"/>
  <c r="F63" i="8"/>
  <c r="H63" i="8" s="1"/>
  <c r="G62" i="8"/>
  <c r="F62" i="8"/>
  <c r="H62" i="8" s="1"/>
  <c r="F61" i="8"/>
  <c r="H61" i="8" s="1"/>
  <c r="G60" i="8"/>
  <c r="F60" i="8"/>
  <c r="G59" i="8"/>
  <c r="F59" i="8"/>
  <c r="G58" i="8"/>
  <c r="F58" i="8"/>
  <c r="G57" i="8"/>
  <c r="F57" i="8"/>
  <c r="H57" i="8" s="1"/>
  <c r="G56" i="8"/>
  <c r="F56" i="8"/>
  <c r="G55" i="8"/>
  <c r="F55" i="8"/>
  <c r="H55" i="8" s="1"/>
  <c r="F54" i="8"/>
  <c r="H54" i="8" s="1"/>
  <c r="G53" i="8"/>
  <c r="F53" i="8"/>
  <c r="H53" i="8" s="1"/>
  <c r="F52" i="8"/>
  <c r="H52" i="8" s="1"/>
  <c r="F51" i="8"/>
  <c r="H51" i="8" s="1"/>
  <c r="G50" i="8"/>
  <c r="F50" i="8"/>
  <c r="G49" i="8"/>
  <c r="F49" i="8"/>
  <c r="H49" i="8" s="1"/>
  <c r="G48" i="8"/>
  <c r="F48" i="8"/>
  <c r="F43" i="8"/>
  <c r="G41" i="8"/>
  <c r="G40" i="8"/>
  <c r="E38" i="8"/>
  <c r="G38" i="8" s="1"/>
  <c r="G37" i="8"/>
  <c r="F34" i="8"/>
  <c r="F35" i="8" s="1"/>
  <c r="E34" i="8"/>
  <c r="G33" i="8"/>
  <c r="G32" i="8"/>
  <c r="G31" i="8"/>
  <c r="F30" i="8"/>
  <c r="E30" i="8"/>
  <c r="G29" i="8"/>
  <c r="G28" i="8"/>
  <c r="G30" i="8" s="1"/>
  <c r="G27" i="8"/>
  <c r="G26" i="8"/>
  <c r="E25" i="8"/>
  <c r="G24" i="8"/>
  <c r="G23" i="8"/>
  <c r="G22" i="8"/>
  <c r="G25" i="8" s="1"/>
  <c r="G21" i="8"/>
  <c r="F20" i="8"/>
  <c r="E20" i="8"/>
  <c r="G19" i="8"/>
  <c r="G18" i="8"/>
  <c r="G16" i="8"/>
  <c r="F16" i="8"/>
  <c r="E16" i="8"/>
  <c r="E35" i="8" s="1"/>
  <c r="G15" i="8"/>
  <c r="E67" i="5"/>
  <c r="D67" i="5"/>
  <c r="C67" i="5"/>
  <c r="G66" i="5"/>
  <c r="F66" i="5"/>
  <c r="H66" i="5" s="1"/>
  <c r="G65" i="5"/>
  <c r="F65" i="5"/>
  <c r="H65" i="5" s="1"/>
  <c r="G64" i="5"/>
  <c r="F64" i="5"/>
  <c r="H64" i="5" s="1"/>
  <c r="G63" i="5"/>
  <c r="F63" i="5"/>
  <c r="H63" i="5" s="1"/>
  <c r="G62" i="5"/>
  <c r="F62" i="5"/>
  <c r="H62" i="5" s="1"/>
  <c r="G61" i="5"/>
  <c r="F61" i="5"/>
  <c r="H61" i="5" s="1"/>
  <c r="G60" i="5"/>
  <c r="F60" i="5"/>
  <c r="H60" i="5" s="1"/>
  <c r="G59" i="5"/>
  <c r="F59" i="5"/>
  <c r="H59" i="5" s="1"/>
  <c r="G58" i="5"/>
  <c r="F58" i="5"/>
  <c r="H58" i="5" s="1"/>
  <c r="G57" i="5"/>
  <c r="F57" i="5"/>
  <c r="H57" i="5" s="1"/>
  <c r="G56" i="5"/>
  <c r="F56" i="5"/>
  <c r="H56" i="5" s="1"/>
  <c r="G55" i="5"/>
  <c r="F55" i="5"/>
  <c r="H55" i="5" s="1"/>
  <c r="G54" i="5"/>
  <c r="F54" i="5"/>
  <c r="H54" i="5" s="1"/>
  <c r="G53" i="5"/>
  <c r="F53" i="5"/>
  <c r="H53" i="5" s="1"/>
  <c r="G52" i="5"/>
  <c r="F52" i="5"/>
  <c r="H52" i="5" s="1"/>
  <c r="G51" i="5"/>
  <c r="F51" i="5"/>
  <c r="H51" i="5" s="1"/>
  <c r="G50" i="5"/>
  <c r="F50" i="5"/>
  <c r="H50" i="5" s="1"/>
  <c r="G49" i="5"/>
  <c r="F49" i="5"/>
  <c r="H49" i="5" s="1"/>
  <c r="G48" i="5"/>
  <c r="G67" i="5" s="1"/>
  <c r="F48" i="5"/>
  <c r="F43" i="5"/>
  <c r="G41" i="5"/>
  <c r="G40" i="5"/>
  <c r="G38" i="5"/>
  <c r="E38" i="5"/>
  <c r="G37" i="5"/>
  <c r="F34" i="5"/>
  <c r="F35" i="5" s="1"/>
  <c r="E34" i="5"/>
  <c r="G33" i="5"/>
  <c r="G32" i="5"/>
  <c r="G31" i="5"/>
  <c r="F30" i="5"/>
  <c r="E30" i="5"/>
  <c r="G29" i="5"/>
  <c r="G28" i="5"/>
  <c r="G30" i="5" s="1"/>
  <c r="G27" i="5"/>
  <c r="G26" i="5"/>
  <c r="E25" i="5"/>
  <c r="G24" i="5"/>
  <c r="G23" i="5"/>
  <c r="G22" i="5"/>
  <c r="G25" i="5" s="1"/>
  <c r="G21" i="5"/>
  <c r="F20" i="5"/>
  <c r="E20" i="5"/>
  <c r="G19" i="5"/>
  <c r="G18" i="5"/>
  <c r="G16" i="5"/>
  <c r="F16" i="5"/>
  <c r="E16" i="5"/>
  <c r="E35" i="5" s="1"/>
  <c r="G15" i="5"/>
  <c r="F67" i="1"/>
  <c r="E67" i="1"/>
  <c r="D67" i="1"/>
  <c r="H66" i="1"/>
  <c r="G66" i="1"/>
  <c r="I66" i="1" s="1"/>
  <c r="H65" i="1"/>
  <c r="G65" i="1"/>
  <c r="I65" i="1" s="1"/>
  <c r="H64" i="1"/>
  <c r="G64" i="1"/>
  <c r="I64" i="1" s="1"/>
  <c r="H63" i="1"/>
  <c r="G63" i="1"/>
  <c r="I63" i="1" s="1"/>
  <c r="H62" i="1"/>
  <c r="G62" i="1"/>
  <c r="I62" i="1" s="1"/>
  <c r="H61" i="1"/>
  <c r="G61" i="1"/>
  <c r="I61" i="1" s="1"/>
  <c r="H60" i="1"/>
  <c r="G60" i="1"/>
  <c r="I60" i="1" s="1"/>
  <c r="H59" i="1"/>
  <c r="G59" i="1"/>
  <c r="I59" i="1" s="1"/>
  <c r="H58" i="1"/>
  <c r="G58" i="1"/>
  <c r="I58" i="1" s="1"/>
  <c r="H57" i="1"/>
  <c r="G57" i="1"/>
  <c r="I57" i="1" s="1"/>
  <c r="H56" i="1"/>
  <c r="G56" i="1"/>
  <c r="I56" i="1" s="1"/>
  <c r="H55" i="1"/>
  <c r="G55" i="1"/>
  <c r="I55" i="1" s="1"/>
  <c r="H54" i="1"/>
  <c r="G54" i="1"/>
  <c r="I54" i="1" s="1"/>
  <c r="H53" i="1"/>
  <c r="G53" i="1"/>
  <c r="I53" i="1" s="1"/>
  <c r="H52" i="1"/>
  <c r="G52" i="1"/>
  <c r="I52" i="1" s="1"/>
  <c r="H51" i="1"/>
  <c r="G51" i="1"/>
  <c r="I51" i="1" s="1"/>
  <c r="H50" i="1"/>
  <c r="G50" i="1"/>
  <c r="I50" i="1" s="1"/>
  <c r="H49" i="1"/>
  <c r="G49" i="1"/>
  <c r="I49" i="1" s="1"/>
  <c r="H48" i="1"/>
  <c r="G48" i="1"/>
  <c r="G43" i="1"/>
  <c r="H41" i="1"/>
  <c r="H40" i="1"/>
  <c r="H38" i="1"/>
  <c r="F38" i="1"/>
  <c r="H37" i="1"/>
  <c r="G34" i="1"/>
  <c r="G35" i="1" s="1"/>
  <c r="F34" i="1"/>
  <c r="H33" i="1"/>
  <c r="H32" i="1"/>
  <c r="H31" i="1"/>
  <c r="G30" i="1"/>
  <c r="F30" i="1"/>
  <c r="H29" i="1"/>
  <c r="H28" i="1"/>
  <c r="H30" i="1" s="1"/>
  <c r="H27" i="1"/>
  <c r="H26" i="1"/>
  <c r="F25" i="1"/>
  <c r="H24" i="1"/>
  <c r="H23" i="1"/>
  <c r="H22" i="1"/>
  <c r="H25" i="1" s="1"/>
  <c r="H21" i="1"/>
  <c r="G20" i="1"/>
  <c r="F20" i="1"/>
  <c r="H19" i="1"/>
  <c r="H18" i="1"/>
  <c r="H16" i="1"/>
  <c r="G16" i="1"/>
  <c r="F16" i="1"/>
  <c r="F35" i="1" s="1"/>
  <c r="H15" i="1"/>
  <c r="H30" i="21"/>
  <c r="G12" i="4"/>
  <c r="H20" i="1" l="1"/>
  <c r="H35" i="1" s="1"/>
  <c r="H34" i="1"/>
  <c r="G20" i="5"/>
  <c r="G34" i="5"/>
  <c r="G35" i="5" s="1"/>
  <c r="G20" i="8"/>
  <c r="G35" i="8" s="1"/>
  <c r="G34" i="8"/>
  <c r="H56" i="8"/>
  <c r="H60" i="8"/>
  <c r="G43" i="4"/>
  <c r="G43" i="24"/>
  <c r="G67" i="1"/>
  <c r="F67" i="5"/>
  <c r="F67" i="8"/>
  <c r="E35" i="24"/>
  <c r="H67" i="1"/>
  <c r="G67" i="8"/>
  <c r="H58" i="8"/>
  <c r="G34" i="4"/>
  <c r="G20" i="6"/>
  <c r="G34" i="6"/>
  <c r="G20" i="9"/>
  <c r="G35" i="9" s="1"/>
  <c r="G34" i="9"/>
  <c r="G20" i="24"/>
  <c r="G35" i="24" s="1"/>
  <c r="G34" i="24"/>
  <c r="H43" i="1"/>
  <c r="G43" i="5"/>
  <c r="G43" i="8"/>
  <c r="G43" i="9"/>
  <c r="H59" i="8"/>
  <c r="G30" i="4"/>
  <c r="G43" i="6"/>
  <c r="H50" i="8"/>
  <c r="H64" i="8"/>
  <c r="F67" i="4"/>
  <c r="H52" i="4"/>
  <c r="H56" i="4"/>
  <c r="H60" i="4"/>
  <c r="H64" i="4"/>
  <c r="G30" i="6"/>
  <c r="F67" i="6"/>
  <c r="H52" i="6"/>
  <c r="H56" i="6"/>
  <c r="H60" i="6"/>
  <c r="H64" i="6"/>
  <c r="G30" i="9"/>
  <c r="F67" i="9"/>
  <c r="H52" i="9"/>
  <c r="H56" i="9"/>
  <c r="H60" i="9"/>
  <c r="H64" i="9"/>
  <c r="G30" i="24"/>
  <c r="F67" i="24"/>
  <c r="H52" i="24"/>
  <c r="H56" i="24"/>
  <c r="H60" i="24"/>
  <c r="H64" i="24"/>
  <c r="H48" i="24"/>
  <c r="H48" i="9"/>
  <c r="G35" i="6"/>
  <c r="H48" i="6"/>
  <c r="G35" i="4"/>
  <c r="H48" i="4"/>
  <c r="H48" i="8"/>
  <c r="H48" i="5"/>
  <c r="H67" i="5" s="1"/>
  <c r="I48" i="1"/>
  <c r="I67" i="1" s="1"/>
  <c r="E39" i="24" l="1"/>
  <c r="E43" i="24" s="1"/>
  <c r="G44" i="24"/>
  <c r="G45" i="24" s="1"/>
  <c r="G46" i="24" s="1"/>
  <c r="G44" i="8"/>
  <c r="G45" i="8" s="1"/>
  <c r="G46" i="8" s="1"/>
  <c r="E39" i="8"/>
  <c r="E43" i="8" s="1"/>
  <c r="G44" i="5"/>
  <c r="G45" i="5" s="1"/>
  <c r="G46" i="5" s="1"/>
  <c r="E39" i="5"/>
  <c r="E43" i="5" s="1"/>
  <c r="G44" i="9"/>
  <c r="G45" i="9" s="1"/>
  <c r="G46" i="9" s="1"/>
  <c r="E39" i="9"/>
  <c r="E43" i="9" s="1"/>
  <c r="H44" i="1"/>
  <c r="H45" i="1" s="1"/>
  <c r="H46" i="1" s="1"/>
  <c r="F39" i="1"/>
  <c r="F43" i="1" s="1"/>
  <c r="H67" i="8"/>
  <c r="H67" i="6"/>
  <c r="H67" i="9"/>
  <c r="H67" i="4"/>
  <c r="H67" i="24"/>
  <c r="G44" i="6"/>
  <c r="G45" i="6" s="1"/>
  <c r="G46" i="6" s="1"/>
  <c r="E39" i="6"/>
  <c r="E43" i="6" s="1"/>
  <c r="G44" i="4"/>
  <c r="G45" i="4" s="1"/>
  <c r="G46" i="4" s="1"/>
  <c r="E39" i="4"/>
  <c r="E43" i="4" s="1"/>
  <c r="H62" i="21"/>
  <c r="H54" i="21"/>
  <c r="H53" i="21"/>
  <c r="H35" i="21" l="1"/>
  <c r="H68" i="21"/>
  <c r="H67" i="21"/>
  <c r="H66" i="21"/>
  <c r="H56" i="21"/>
  <c r="H52" i="21"/>
  <c r="H51" i="21"/>
  <c r="G18" i="21" l="1"/>
  <c r="F18" i="21"/>
  <c r="H55" i="21" l="1"/>
  <c r="G67" i="21" l="1"/>
  <c r="H57" i="21" l="1"/>
  <c r="H58" i="21"/>
  <c r="H60" i="21"/>
  <c r="H61" i="21"/>
  <c r="H64" i="21"/>
  <c r="H65" i="21"/>
  <c r="G36" i="21"/>
  <c r="F36" i="21"/>
  <c r="H34" i="21"/>
  <c r="H50" i="21"/>
  <c r="F32" i="21" l="1"/>
  <c r="G45" i="21" l="1"/>
  <c r="H12" i="20" l="1"/>
  <c r="G12" i="19"/>
  <c r="H43" i="21"/>
  <c r="H39" i="21"/>
  <c r="F22" i="21" l="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8" i="21"/>
  <c r="G50" i="21"/>
  <c r="G22" i="21"/>
  <c r="G12" i="11" l="1"/>
  <c r="G37" i="21" l="1"/>
  <c r="G12" i="8" l="1"/>
  <c r="H12" i="18" l="1"/>
  <c r="G12" i="17"/>
  <c r="G12" i="13"/>
  <c r="H21" i="21" l="1"/>
  <c r="G12" i="12" l="1"/>
  <c r="G12" i="23"/>
  <c r="G12" i="9"/>
  <c r="G12" i="6"/>
  <c r="G12" i="22" l="1"/>
  <c r="G12" i="15"/>
  <c r="G12" i="14"/>
  <c r="G12" i="24"/>
  <c r="H25" i="21" l="1"/>
  <c r="G12" i="5"/>
  <c r="H12" i="1"/>
  <c r="F69" i="21" l="1"/>
  <c r="F40" i="21" s="1"/>
  <c r="E69" i="21"/>
  <c r="I56" i="21"/>
  <c r="I54" i="21"/>
  <c r="I53" i="21"/>
  <c r="I52" i="21"/>
  <c r="I51" i="21"/>
  <c r="H69" i="21"/>
  <c r="I50" i="21"/>
  <c r="I57" i="21" l="1"/>
  <c r="I58" i="21"/>
  <c r="I59" i="21"/>
  <c r="I60" i="21"/>
  <c r="I61" i="21"/>
  <c r="I62" i="21"/>
  <c r="I63" i="21"/>
  <c r="I64" i="21"/>
  <c r="I65" i="21"/>
  <c r="I66" i="21"/>
  <c r="I67" i="21"/>
  <c r="I68" i="21"/>
  <c r="H36" i="21" l="1"/>
  <c r="F27" i="21"/>
  <c r="F37" i="21" l="1"/>
  <c r="H17" i="21" l="1"/>
  <c r="H18" i="21" s="1"/>
  <c r="H26" i="21" l="1"/>
  <c r="H31" i="21" l="1"/>
  <c r="H14" i="21" l="1"/>
  <c r="H20" i="21"/>
  <c r="H22" i="21" s="1"/>
  <c r="H23" i="21"/>
  <c r="H24" i="21"/>
  <c r="H27" i="21" s="1"/>
  <c r="H28" i="21"/>
  <c r="H29" i="21"/>
  <c r="H32" i="21" s="1"/>
  <c r="G32" i="21"/>
  <c r="H33" i="21"/>
  <c r="H40" i="21"/>
  <c r="H42" i="21"/>
  <c r="H37" i="21" l="1"/>
  <c r="F41" i="21" s="1"/>
  <c r="H45" i="21"/>
  <c r="H46" i="21" l="1"/>
  <c r="H47" i="21" s="1"/>
  <c r="H48" i="21" s="1"/>
  <c r="F45" i="21"/>
  <c r="D69" i="21" l="1"/>
  <c r="G69" i="21"/>
  <c r="I55" i="21"/>
  <c r="I69" i="21" s="1"/>
</calcChain>
</file>

<file path=xl/sharedStrings.xml><?xml version="1.0" encoding="utf-8"?>
<sst xmlns="http://schemas.openxmlformats.org/spreadsheetml/2006/main" count="2151" uniqueCount="146">
  <si>
    <t>ADMINISTRACION</t>
  </si>
  <si>
    <t>Ventresca y Asociados</t>
  </si>
  <si>
    <t>Velez Sarfield 134 - Martinez</t>
  </si>
  <si>
    <t>CONSORCIO</t>
  </si>
  <si>
    <t>Velez Sarfield 134- Martinez</t>
  </si>
  <si>
    <t>CUIT 30-67808452-9</t>
  </si>
  <si>
    <t>11 4793-8015</t>
  </si>
  <si>
    <t>Conceptos a pagar</t>
  </si>
  <si>
    <t>Saldo anterior</t>
  </si>
  <si>
    <t>Expensas Gastos A</t>
  </si>
  <si>
    <t>Expensas Gastos B</t>
  </si>
  <si>
    <t>Intereses por mora</t>
  </si>
  <si>
    <t>PAGOS DEL PERIODO</t>
  </si>
  <si>
    <t>TOTAL A PAGAR    (Vencimiento al 10/09/2017)</t>
  </si>
  <si>
    <t xml:space="preserve">1 - SUELDOS Y CARGAS SOCIALES </t>
  </si>
  <si>
    <t>GASTOS A</t>
  </si>
  <si>
    <t>TOTAL</t>
  </si>
  <si>
    <t xml:space="preserve">Energia electrica Edenor </t>
  </si>
  <si>
    <t>2-SERVICIOS PUBLICOS</t>
  </si>
  <si>
    <t>3-CONTRATOS Y ABONOS</t>
  </si>
  <si>
    <t>TOTAL RUBRO 1</t>
  </si>
  <si>
    <t>TOTAL RUBRO 2</t>
  </si>
  <si>
    <t>Honorarios Ventresca y Asociados</t>
  </si>
  <si>
    <t>Seguros</t>
  </si>
  <si>
    <t>TOTAL RUBRO 3</t>
  </si>
  <si>
    <t>4- MANTENIMIENTO</t>
  </si>
  <si>
    <t>TOTAL RUBRO 4</t>
  </si>
  <si>
    <t>5- VARIOS</t>
  </si>
  <si>
    <t>TOTAL RUBRO 5</t>
  </si>
  <si>
    <t>RESUMEN DE PAGOS Y COBRANZAS</t>
  </si>
  <si>
    <t>SALDO INICIAL</t>
  </si>
  <si>
    <t>Ingreso por pagos de expensas en termino</t>
  </si>
  <si>
    <t>Ingreso por pagos de expensas adeudadas e intereses</t>
  </si>
  <si>
    <t>Pagos según detalle</t>
  </si>
  <si>
    <t>TOTALES</t>
  </si>
  <si>
    <t>RASTELLI</t>
  </si>
  <si>
    <t>CATALINA</t>
  </si>
  <si>
    <t>PB B</t>
  </si>
  <si>
    <t>PB D</t>
  </si>
  <si>
    <t>1 E</t>
  </si>
  <si>
    <t>2 C</t>
  </si>
  <si>
    <t>2 E</t>
  </si>
  <si>
    <t>2 F</t>
  </si>
  <si>
    <t>U.F.</t>
  </si>
  <si>
    <t>PAGOS</t>
  </si>
  <si>
    <t>DEUDA</t>
  </si>
  <si>
    <t>PB E</t>
  </si>
  <si>
    <t>BERENICE</t>
  </si>
  <si>
    <t>1 C</t>
  </si>
  <si>
    <t>RIVERO J.</t>
  </si>
  <si>
    <t>VENTRESCA A.</t>
  </si>
  <si>
    <t>PB A Y C 4-5</t>
  </si>
  <si>
    <t>PB C Y C 8</t>
  </si>
  <si>
    <t>3 A Y C. 11 BIS</t>
  </si>
  <si>
    <t>1 D Y C.11</t>
  </si>
  <si>
    <t>1 F Y C 2</t>
  </si>
  <si>
    <t>%</t>
  </si>
  <si>
    <t>TOTAL A PAGAR</t>
  </si>
  <si>
    <t>COMUNES</t>
  </si>
  <si>
    <t>Otros ingresos      Alquiler 3 E</t>
  </si>
  <si>
    <t>TOTALES INGRESOS</t>
  </si>
  <si>
    <t>A cuenta garantia</t>
  </si>
  <si>
    <t>Propiet./inquilino</t>
  </si>
  <si>
    <t xml:space="preserve"> </t>
  </si>
  <si>
    <t xml:space="preserve">2 A </t>
  </si>
  <si>
    <t xml:space="preserve">1 B </t>
  </si>
  <si>
    <t>1 A  Y C 7-C 9-C 10</t>
  </si>
  <si>
    <t>MEJIAS WALTER</t>
  </si>
  <si>
    <t xml:space="preserve">PB F </t>
  </si>
  <si>
    <t>Allianz Argentina</t>
  </si>
  <si>
    <t>extraordinarias</t>
  </si>
  <si>
    <t>2 B</t>
  </si>
  <si>
    <t xml:space="preserve">Sueldo Y Aguinaldo Maria </t>
  </si>
  <si>
    <t>art. Limpieza</t>
  </si>
  <si>
    <t>Flores</t>
  </si>
  <si>
    <t>Esteban suplencia</t>
  </si>
  <si>
    <t>Plantas</t>
  </si>
  <si>
    <t>Collado electricidad (lamparitas)</t>
  </si>
  <si>
    <t>Artefactos electricos 2do cuerpo</t>
  </si>
  <si>
    <t>SALDO AL CIERRE 30/11/2020</t>
  </si>
  <si>
    <t>Ascensor Abono y reparación ascensor 2do cuerpo</t>
  </si>
  <si>
    <t>Electricidad (mano de obra)</t>
  </si>
  <si>
    <t>Seguro La Meridional</t>
  </si>
  <si>
    <t>Ferreteria</t>
  </si>
  <si>
    <t>Jardinero</t>
  </si>
  <si>
    <t>U$D</t>
  </si>
  <si>
    <t xml:space="preserve">PB A </t>
  </si>
  <si>
    <t xml:space="preserve">PB B </t>
  </si>
  <si>
    <t>LOYOLA SABRINA</t>
  </si>
  <si>
    <t xml:space="preserve">2 D </t>
  </si>
  <si>
    <t>Abono ascensor</t>
  </si>
  <si>
    <t>1 A  Y C 7</t>
  </si>
  <si>
    <t>MIGUEL A. RAINIERI</t>
  </si>
  <si>
    <t>GONZALEZ FERNANDO</t>
  </si>
  <si>
    <t>(COMUNICAMOS QUE SE COBRARAN INTERESES POR LA FALTA DE PAGO EN TERMINO)</t>
  </si>
  <si>
    <t xml:space="preserve">Dolares </t>
  </si>
  <si>
    <t>11 68722530</t>
  </si>
  <si>
    <t>BERENICE 1 A Y 1 C</t>
  </si>
  <si>
    <t>ANTONIA 1D</t>
  </si>
  <si>
    <t>MIGUEL RAINIERI 1 E</t>
  </si>
  <si>
    <t>WALTER MEJIAS 2 C</t>
  </si>
  <si>
    <t>RIVERO  JUAN 2F</t>
  </si>
  <si>
    <t>Ingreso por pagos de expensas en termino cta cte</t>
  </si>
  <si>
    <t>CTA CTE  CONSORCIO VELEZ SARFIELD 138 - BANCO GALICIA CTA 16280-1-041-4 CBU 0070041220000016280140</t>
  </si>
  <si>
    <t>Gastos bancarios</t>
  </si>
  <si>
    <t>Seguro Allianz</t>
  </si>
  <si>
    <t xml:space="preserve">MIRANDA Pablo </t>
  </si>
  <si>
    <t>ECKSTEIN Tomas</t>
  </si>
  <si>
    <t>ECKSTEIN TOMAS 2 D</t>
  </si>
  <si>
    <t>Aysa</t>
  </si>
  <si>
    <t>U$D 40</t>
  </si>
  <si>
    <t>POR FAVOR SE SOLICITA VERIFICAR EL CIERRE CORRECTO DE LA PUERTA DE ENTRADA AL EDIFICIO POR NUESTRA SEGURIDAD. GRACIAS</t>
  </si>
  <si>
    <t>VARGAS CARMEN PB E</t>
  </si>
  <si>
    <t>Gastos Ordinarios</t>
  </si>
  <si>
    <t>Utilización de Fondo de reserva</t>
  </si>
  <si>
    <t>Ante cualquier duda por favor comunicarse con el 11-6093-1760</t>
  </si>
  <si>
    <t>VARGAS C.</t>
  </si>
  <si>
    <t>PERALTA A.</t>
  </si>
  <si>
    <t>PERALTA AYRTON 1B</t>
  </si>
  <si>
    <t>MIGUEL PB D</t>
  </si>
  <si>
    <t>MOLLIS</t>
  </si>
  <si>
    <t>ALQUILER</t>
  </si>
  <si>
    <t>HIGONENQ Eugenia</t>
  </si>
  <si>
    <t xml:space="preserve">HYGONENQ </t>
  </si>
  <si>
    <t>EUGENIA 2B</t>
  </si>
  <si>
    <t>1 F</t>
  </si>
  <si>
    <t>GONZALEZ FERNANDO PB A</t>
  </si>
  <si>
    <t>LOYOLA SABRINA 2 A</t>
  </si>
  <si>
    <t>CATY PB B</t>
  </si>
  <si>
    <t>Limpieza</t>
  </si>
  <si>
    <t>VENTRESCA</t>
  </si>
  <si>
    <t>JULIAN</t>
  </si>
  <si>
    <t>DEPARTAMENTO PB C</t>
  </si>
  <si>
    <t>CURETTI JULIAN 3 A</t>
  </si>
  <si>
    <t>Sueldo Maria y aguinaldo</t>
  </si>
  <si>
    <t>ENERO 2026</t>
  </si>
  <si>
    <t>FEBRERO 2026</t>
  </si>
  <si>
    <t xml:space="preserve">                      EXPENSAS MARZO 2026</t>
  </si>
  <si>
    <t>DETALLE DE GASTOS DEL PERIODO FEBRERO 2026</t>
  </si>
  <si>
    <t>Electricista</t>
  </si>
  <si>
    <t xml:space="preserve"> VTO 10/03/2026</t>
  </si>
  <si>
    <t>SALDO AL CIERRE 28/02/2026</t>
  </si>
  <si>
    <t>MOYANO ETELVINA PB F</t>
  </si>
  <si>
    <t>MOYANO ETELVINA</t>
  </si>
  <si>
    <t>TOTAL A PAGAR    (Vencimiento al 10/03/2026)</t>
  </si>
  <si>
    <t>MADDALENO  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</si>
</sst>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[$$-2C0A]\ * #,##0.00_ ;_ [$$-2C0A]\ * \-#,##0.00_ ;_ [$$-2C0A]\ * &quot;-&quot;??_ ;_ @_ "/>
    <numFmt numFmtId="166" formatCode="_-[$$-2C0A]\ * #,##0.00_-;\-[$$-2C0A]\ * #,##0.00_-;_-[$$-2C0A]\ 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Border="1"/>
    <xf numFmtId="0" fontId="2" fillId="0" borderId="4" xfId="0" applyFont="1" applyBorder="1"/>
    <xf numFmtId="165" fontId="2" fillId="0" borderId="5" xfId="0" applyNumberFormat="1" applyFont="1" applyBorder="1"/>
    <xf numFmtId="165" fontId="2" fillId="0" borderId="4" xfId="0" applyNumberFormat="1" applyFont="1" applyBorder="1"/>
    <xf numFmtId="165" fontId="2" fillId="0" borderId="0" xfId="0" applyNumberFormat="1" applyFont="1"/>
    <xf numFmtId="165" fontId="2" fillId="2" borderId="2" xfId="0" applyNumberFormat="1" applyFont="1" applyFill="1" applyBorder="1"/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5" fontId="2" fillId="2" borderId="3" xfId="0" applyNumberFormat="1" applyFont="1" applyFill="1" applyBorder="1"/>
    <xf numFmtId="165" fontId="2" fillId="2" borderId="2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165" fontId="2" fillId="0" borderId="7" xfId="0" applyNumberFormat="1" applyFont="1" applyBorder="1"/>
    <xf numFmtId="0" fontId="2" fillId="3" borderId="0" xfId="0" applyFont="1" applyFill="1" applyBorder="1"/>
    <xf numFmtId="49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164" fontId="2" fillId="2" borderId="4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164" fontId="3" fillId="5" borderId="2" xfId="0" applyNumberFormat="1" applyFont="1" applyFill="1" applyBorder="1" applyAlignment="1">
      <alignment horizontal="center"/>
    </xf>
    <xf numFmtId="165" fontId="2" fillId="5" borderId="2" xfId="0" applyNumberFormat="1" applyFont="1" applyFill="1" applyBorder="1"/>
    <xf numFmtId="164" fontId="2" fillId="4" borderId="5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5" fontId="4" fillId="0" borderId="0" xfId="0" applyNumberFormat="1" applyFont="1"/>
    <xf numFmtId="165" fontId="1" fillId="0" borderId="0" xfId="0" applyNumberFormat="1" applyFont="1"/>
    <xf numFmtId="165" fontId="0" fillId="0" borderId="0" xfId="0" applyNumberFormat="1" applyFont="1"/>
    <xf numFmtId="0" fontId="0" fillId="4" borderId="1" xfId="0" applyFill="1" applyBorder="1"/>
    <xf numFmtId="164" fontId="2" fillId="4" borderId="2" xfId="0" applyNumberFormat="1" applyFont="1" applyFill="1" applyBorder="1" applyAlignment="1">
      <alignment horizontal="center"/>
    </xf>
    <xf numFmtId="165" fontId="2" fillId="4" borderId="2" xfId="0" applyNumberFormat="1" applyFont="1" applyFill="1" applyBorder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/>
    <xf numFmtId="165" fontId="6" fillId="0" borderId="0" xfId="0" applyNumberFormat="1" applyFont="1"/>
    <xf numFmtId="0" fontId="5" fillId="0" borderId="0" xfId="0" applyFont="1"/>
    <xf numFmtId="0" fontId="0" fillId="3" borderId="10" xfId="0" applyFill="1" applyBorder="1"/>
    <xf numFmtId="164" fontId="2" fillId="3" borderId="10" xfId="0" applyNumberFormat="1" applyFont="1" applyFill="1" applyBorder="1" applyAlignment="1">
      <alignment horizontal="center"/>
    </xf>
    <xf numFmtId="165" fontId="2" fillId="3" borderId="10" xfId="0" applyNumberFormat="1" applyFont="1" applyFill="1" applyBorder="1"/>
    <xf numFmtId="165" fontId="3" fillId="2" borderId="4" xfId="0" applyNumberFormat="1" applyFont="1" applyFill="1" applyBorder="1"/>
    <xf numFmtId="0" fontId="0" fillId="2" borderId="0" xfId="0" applyFill="1" applyBorder="1"/>
    <xf numFmtId="164" fontId="2" fillId="2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/>
    <xf numFmtId="0" fontId="4" fillId="3" borderId="9" xfId="0" applyFont="1" applyFill="1" applyBorder="1"/>
    <xf numFmtId="49" fontId="2" fillId="2" borderId="3" xfId="0" applyNumberFormat="1" applyFont="1" applyFill="1" applyBorder="1" applyAlignment="1">
      <alignment horizontal="center"/>
    </xf>
    <xf numFmtId="165" fontId="2" fillId="0" borderId="11" xfId="0" applyNumberFormat="1" applyFont="1" applyBorder="1"/>
    <xf numFmtId="0" fontId="1" fillId="4" borderId="1" xfId="0" applyFont="1" applyFill="1" applyBorder="1"/>
    <xf numFmtId="0" fontId="3" fillId="4" borderId="1" xfId="0" applyFont="1" applyFill="1" applyBorder="1"/>
    <xf numFmtId="0" fontId="0" fillId="4" borderId="2" xfId="0" applyFill="1" applyBorder="1"/>
    <xf numFmtId="165" fontId="3" fillId="4" borderId="2" xfId="0" applyNumberFormat="1" applyFont="1" applyFill="1" applyBorder="1"/>
    <xf numFmtId="0" fontId="0" fillId="0" borderId="4" xfId="0" applyBorder="1"/>
    <xf numFmtId="17" fontId="2" fillId="0" borderId="4" xfId="0" applyNumberFormat="1" applyFont="1" applyBorder="1" applyAlignment="1">
      <alignment horizontal="center"/>
    </xf>
    <xf numFmtId="0" fontId="2" fillId="4" borderId="1" xfId="0" applyFont="1" applyFill="1" applyBorder="1"/>
    <xf numFmtId="164" fontId="3" fillId="4" borderId="2" xfId="0" applyNumberFormat="1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165" fontId="3" fillId="4" borderId="12" xfId="0" applyNumberFormat="1" applyFont="1" applyFill="1" applyBorder="1"/>
    <xf numFmtId="0" fontId="0" fillId="0" borderId="0" xfId="0" applyFont="1"/>
    <xf numFmtId="0" fontId="2" fillId="0" borderId="11" xfId="0" applyFont="1" applyFill="1" applyBorder="1"/>
    <xf numFmtId="0" fontId="0" fillId="0" borderId="0" xfId="0" applyFont="1" applyBorder="1"/>
    <xf numFmtId="0" fontId="7" fillId="0" borderId="11" xfId="0" applyFont="1" applyFill="1" applyBorder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8" fillId="0" borderId="0" xfId="0" applyFont="1"/>
    <xf numFmtId="165" fontId="2" fillId="3" borderId="4" xfId="0" applyNumberFormat="1" applyFont="1" applyFill="1" applyBorder="1"/>
    <xf numFmtId="164" fontId="0" fillId="0" borderId="0" xfId="0" applyNumberFormat="1" applyFont="1" applyAlignment="1">
      <alignment horizontal="center"/>
    </xf>
    <xf numFmtId="0" fontId="9" fillId="0" borderId="0" xfId="0" applyFont="1"/>
    <xf numFmtId="165" fontId="2" fillId="0" borderId="13" xfId="0" applyNumberFormat="1" applyFont="1" applyBorder="1"/>
    <xf numFmtId="165" fontId="3" fillId="4" borderId="2" xfId="0" applyNumberFormat="1" applyFont="1" applyFill="1" applyBorder="1" applyAlignment="1">
      <alignment horizontal="center"/>
    </xf>
    <xf numFmtId="165" fontId="3" fillId="4" borderId="1" xfId="0" applyNumberFormat="1" applyFont="1" applyFill="1" applyBorder="1"/>
    <xf numFmtId="165" fontId="2" fillId="0" borderId="14" xfId="0" applyNumberFormat="1" applyFont="1" applyBorder="1"/>
    <xf numFmtId="165" fontId="3" fillId="2" borderId="13" xfId="0" applyNumberFormat="1" applyFont="1" applyFill="1" applyBorder="1"/>
    <xf numFmtId="165" fontId="4" fillId="3" borderId="10" xfId="0" applyNumberFormat="1" applyFont="1" applyFill="1" applyBorder="1"/>
    <xf numFmtId="0" fontId="2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165" fontId="2" fillId="5" borderId="19" xfId="0" applyNumberFormat="1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0" fillId="3" borderId="0" xfId="0" applyFill="1" applyBorder="1"/>
    <xf numFmtId="0" fontId="3" fillId="0" borderId="11" xfId="0" applyFont="1" applyFill="1" applyBorder="1"/>
    <xf numFmtId="165" fontId="2" fillId="3" borderId="5" xfId="0" applyNumberFormat="1" applyFont="1" applyFill="1" applyBorder="1"/>
    <xf numFmtId="165" fontId="2" fillId="6" borderId="7" xfId="0" applyNumberFormat="1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8" xfId="0" applyNumberFormat="1" applyFont="1" applyBorder="1"/>
    <xf numFmtId="164" fontId="3" fillId="2" borderId="4" xfId="0" applyNumberFormat="1" applyFont="1" applyFill="1" applyBorder="1" applyAlignment="1">
      <alignment horizontal="center"/>
    </xf>
    <xf numFmtId="0" fontId="10" fillId="0" borderId="4" xfId="0" applyFont="1" applyBorder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0" fillId="3" borderId="0" xfId="0" applyFont="1" applyFill="1" applyBorder="1"/>
    <xf numFmtId="165" fontId="11" fillId="0" borderId="4" xfId="0" applyNumberFormat="1" applyFont="1" applyBorder="1"/>
    <xf numFmtId="165" fontId="2" fillId="2" borderId="21" xfId="0" applyNumberFormat="1" applyFont="1" applyFill="1" applyBorder="1"/>
    <xf numFmtId="17" fontId="0" fillId="0" borderId="0" xfId="0" applyNumberFormat="1"/>
    <xf numFmtId="165" fontId="12" fillId="0" borderId="0" xfId="0" applyNumberFormat="1" applyFont="1"/>
    <xf numFmtId="165" fontId="2" fillId="2" borderId="22" xfId="0" applyNumberFormat="1" applyFont="1" applyFill="1" applyBorder="1"/>
    <xf numFmtId="166" fontId="1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7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571500</xdr:colOff>
      <xdr:row>1</xdr:row>
      <xdr:rowOff>198120</xdr:rowOff>
    </xdr:from>
    <xdr:to>
      <xdr:col>4</xdr:col>
      <xdr:colOff>971550</xdr:colOff>
      <xdr:row>7</xdr:row>
      <xdr:rowOff>81915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3286125" y="4362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ES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784860" y="0"/>
          <a:ext cx="304800" cy="2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986790</xdr:colOff>
      <xdr:row>4</xdr:row>
      <xdr:rowOff>171450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784860" y="0"/>
          <a:ext cx="98679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784860" y="0"/>
          <a:ext cx="304800" cy="2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986790</xdr:colOff>
      <xdr:row>4</xdr:row>
      <xdr:rowOff>171450</xdr:rowOff>
    </xdr:to>
    <xdr:sp macro="" textlink="">
      <xdr:nvSpPr>
        <xdr:cNvPr id="5" name="AutoShape 4" descr="file:///D:%5CDesktop%5CLogo%20Ventresca.png"/>
        <xdr:cNvSpPr>
          <a:spLocks noChangeAspect="1" noChangeArrowheads="1"/>
        </xdr:cNvSpPr>
      </xdr:nvSpPr>
      <xdr:spPr bwMode="auto">
        <a:xfrm>
          <a:off x="784860" y="0"/>
          <a:ext cx="98679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6" name="AutoShape 2" descr="file:///D:%5CDesktop%5CLogo%20Ventresca.png"/>
        <xdr:cNvSpPr>
          <a:spLocks noChangeAspect="1" noChangeArrowheads="1"/>
        </xdr:cNvSpPr>
      </xdr:nvSpPr>
      <xdr:spPr bwMode="auto">
        <a:xfrm>
          <a:off x="899160" y="99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99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4</xdr:col>
      <xdr:colOff>3175</xdr:colOff>
      <xdr:row>7</xdr:row>
      <xdr:rowOff>5715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2552700" y="354330"/>
          <a:ext cx="1180465" cy="996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99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819150</xdr:colOff>
      <xdr:row>7</xdr:row>
      <xdr:rowOff>5715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2552700" y="354330"/>
          <a:ext cx="819150" cy="996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</xdr:row>
      <xdr:rowOff>12700</xdr:rowOff>
    </xdr:from>
    <xdr:to>
      <xdr:col>1</xdr:col>
      <xdr:colOff>304800</xdr:colOff>
      <xdr:row>5</xdr:row>
      <xdr:rowOff>125095</xdr:rowOff>
    </xdr:to>
    <xdr:sp macro="" textlink="">
      <xdr:nvSpPr>
        <xdr:cNvPr id="1026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546100"/>
          <a:ext cx="3048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9525</xdr:colOff>
      <xdr:row>1</xdr:row>
      <xdr:rowOff>87630</xdr:rowOff>
    </xdr:from>
    <xdr:to>
      <xdr:col>1</xdr:col>
      <xdr:colOff>925830</xdr:colOff>
      <xdr:row>6</xdr:row>
      <xdr:rowOff>123825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9525" y="325755"/>
          <a:ext cx="973455" cy="99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4</xdr:col>
      <xdr:colOff>1000125</xdr:colOff>
      <xdr:row>7</xdr:row>
      <xdr:rowOff>15240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4</xdr:col>
      <xdr:colOff>828675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986790</xdr:colOff>
      <xdr:row>4</xdr:row>
      <xdr:rowOff>171450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1905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986790</xdr:colOff>
      <xdr:row>4</xdr:row>
      <xdr:rowOff>171450</xdr:rowOff>
    </xdr:to>
    <xdr:sp macro="" textlink="">
      <xdr:nvSpPr>
        <xdr:cNvPr id="5" name="AutoShape 4" descr="file:///D:%5CDesktop%5CLogo%20Ventresca.png"/>
        <xdr:cNvSpPr>
          <a:spLocks noChangeAspect="1" noChangeArrowheads="1"/>
        </xdr:cNvSpPr>
      </xdr:nvSpPr>
      <xdr:spPr bwMode="auto">
        <a:xfrm>
          <a:off x="190500" y="0"/>
          <a:ext cx="98679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4</xdr:col>
      <xdr:colOff>3175</xdr:colOff>
      <xdr:row>7</xdr:row>
      <xdr:rowOff>5715</xdr:rowOff>
    </xdr:to>
    <xdr:sp macro="" textlink="">
      <xdr:nvSpPr>
        <xdr:cNvPr id="11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819150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</xdr:row>
      <xdr:rowOff>142875</xdr:rowOff>
    </xdr:from>
    <xdr:to>
      <xdr:col>3</xdr:col>
      <xdr:colOff>123825</xdr:colOff>
      <xdr:row>3</xdr:row>
      <xdr:rowOff>49530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1381125" y="333375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979170</xdr:colOff>
      <xdr:row>4</xdr:row>
      <xdr:rowOff>171450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22859</xdr:rowOff>
    </xdr:from>
    <xdr:to>
      <xdr:col>0</xdr:col>
      <xdr:colOff>0</xdr:colOff>
      <xdr:row>12</xdr:row>
      <xdr:rowOff>155709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 flipV="1">
          <a:off x="0" y="2796539"/>
          <a:ext cx="0" cy="13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125095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4</xdr:col>
      <xdr:colOff>12700</xdr:colOff>
      <xdr:row>7</xdr:row>
      <xdr:rowOff>5715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819150</xdr:colOff>
      <xdr:row>7</xdr:row>
      <xdr:rowOff>5715</xdr:rowOff>
    </xdr:to>
    <xdr:sp macro="" textlink="">
      <xdr:nvSpPr>
        <xdr:cNvPr id="11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167640</xdr:rowOff>
    </xdr:from>
    <xdr:to>
      <xdr:col>1</xdr:col>
      <xdr:colOff>335280</xdr:colOff>
      <xdr:row>4</xdr:row>
      <xdr:rowOff>87630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3048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977265</xdr:colOff>
      <xdr:row>4</xdr:row>
      <xdr:rowOff>177800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996950</xdr:colOff>
      <xdr:row>7</xdr:row>
      <xdr:rowOff>12065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160020</xdr:rowOff>
    </xdr:from>
    <xdr:to>
      <xdr:col>3</xdr:col>
      <xdr:colOff>819150</xdr:colOff>
      <xdr:row>7</xdr:row>
      <xdr:rowOff>50165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2562225" y="398145"/>
          <a:ext cx="819150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302260</xdr:colOff>
      <xdr:row>3</xdr:row>
      <xdr:rowOff>101600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995045</xdr:colOff>
      <xdr:row>7</xdr:row>
      <xdr:rowOff>53340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6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4</xdr:col>
      <xdr:colOff>466725</xdr:colOff>
      <xdr:row>7</xdr:row>
      <xdr:rowOff>15240</xdr:rowOff>
    </xdr:to>
    <xdr:sp macro="" textlink="">
      <xdr:nvSpPr>
        <xdr:cNvPr id="7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771525</xdr:colOff>
      <xdr:row>7</xdr:row>
      <xdr:rowOff>5715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998220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0</xdr:colOff>
      <xdr:row>12</xdr:row>
      <xdr:rowOff>5715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2400300"/>
          <a:ext cx="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987425</xdr:colOff>
      <xdr:row>7</xdr:row>
      <xdr:rowOff>15240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835025</xdr:colOff>
      <xdr:row>7</xdr:row>
      <xdr:rowOff>5715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809625" y="43815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998220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809625" y="438150"/>
          <a:ext cx="99822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0</xdr:colOff>
      <xdr:row>12</xdr:row>
      <xdr:rowOff>5715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09625" y="2552700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990600</xdr:colOff>
      <xdr:row>7</xdr:row>
      <xdr:rowOff>15240</xdr:rowOff>
    </xdr:to>
    <xdr:sp macro="" textlink="">
      <xdr:nvSpPr>
        <xdr:cNvPr id="6" name="AutoShape 4" descr="file:///D:%5CDesktop%5CLogo%20Ventresca.png"/>
        <xdr:cNvSpPr>
          <a:spLocks noChangeAspect="1" noChangeArrowheads="1"/>
        </xdr:cNvSpPr>
      </xdr:nvSpPr>
      <xdr:spPr bwMode="auto">
        <a:xfrm>
          <a:off x="2647950" y="360045"/>
          <a:ext cx="984250" cy="1045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828675</xdr:colOff>
      <xdr:row>7</xdr:row>
      <xdr:rowOff>5715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809625" y="43815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998220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809625" y="438150"/>
          <a:ext cx="99822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0</xdr:colOff>
      <xdr:row>12</xdr:row>
      <xdr:rowOff>5715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09625" y="2552700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114300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977900</xdr:colOff>
      <xdr:row>7</xdr:row>
      <xdr:rowOff>15240</xdr:rowOff>
    </xdr:to>
    <xdr:sp macro="" textlink="">
      <xdr:nvSpPr>
        <xdr:cNvPr id="6" name="AutoShape 4" descr="file:///D:%5CDesktop%5CLogo%20Ventresca.png"/>
        <xdr:cNvSpPr>
          <a:spLocks noChangeAspect="1" noChangeArrowheads="1"/>
        </xdr:cNvSpPr>
      </xdr:nvSpPr>
      <xdr:spPr bwMode="auto">
        <a:xfrm>
          <a:off x="2647950" y="360045"/>
          <a:ext cx="984250" cy="1045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828675</xdr:colOff>
      <xdr:row>7</xdr:row>
      <xdr:rowOff>5715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988695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289560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36220" y="2598420"/>
          <a:ext cx="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901700</xdr:colOff>
      <xdr:row>7</xdr:row>
      <xdr:rowOff>5715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819150</xdr:colOff>
      <xdr:row>7</xdr:row>
      <xdr:rowOff>5715</xdr:rowOff>
    </xdr:to>
    <xdr:sp macro="" textlink="">
      <xdr:nvSpPr>
        <xdr:cNvPr id="11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1005840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289560</xdr:colOff>
      <xdr:row>3</xdr:row>
      <xdr:rowOff>106680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36220" y="2583180"/>
          <a:ext cx="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904875</xdr:colOff>
      <xdr:row>7</xdr:row>
      <xdr:rowOff>5715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1" name="10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7225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819150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762000</xdr:colOff>
      <xdr:row>0</xdr:row>
      <xdr:rowOff>9525</xdr:rowOff>
    </xdr:from>
    <xdr:to>
      <xdr:col>3</xdr:col>
      <xdr:colOff>1073150</xdr:colOff>
      <xdr:row>1</xdr:row>
      <xdr:rowOff>68580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3876675" y="9525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982980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289560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685800</xdr:colOff>
      <xdr:row>6</xdr:row>
      <xdr:rowOff>0</xdr:rowOff>
    </xdr:to>
    <xdr:sp macro="" textlink="">
      <xdr:nvSpPr>
        <xdr:cNvPr id="12294" name="Text Box 6"/>
        <xdr:cNvSpPr txBox="1">
          <a:spLocks noChangeArrowheads="1"/>
        </xdr:cNvSpPr>
      </xdr:nvSpPr>
      <xdr:spPr bwMode="auto">
        <a:xfrm>
          <a:off x="7543800" y="38100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s-AR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984250</xdr:colOff>
      <xdr:row>7</xdr:row>
      <xdr:rowOff>5715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1" name="10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0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812800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1005840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274320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869950</xdr:colOff>
      <xdr:row>7</xdr:row>
      <xdr:rowOff>5715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812800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9144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762000</xdr:colOff>
      <xdr:row>0</xdr:row>
      <xdr:rowOff>9525</xdr:rowOff>
    </xdr:from>
    <xdr:to>
      <xdr:col>3</xdr:col>
      <xdr:colOff>1060450</xdr:colOff>
      <xdr:row>1</xdr:row>
      <xdr:rowOff>68580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3876675" y="9525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7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8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994410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320040</xdr:colOff>
      <xdr:row>3</xdr:row>
      <xdr:rowOff>106680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4</xdr:col>
      <xdr:colOff>95250</xdr:colOff>
      <xdr:row>7</xdr:row>
      <xdr:rowOff>15240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781050</xdr:colOff>
      <xdr:row>7</xdr:row>
      <xdr:rowOff>5715</xdr:rowOff>
    </xdr:to>
    <xdr:sp macro="" textlink="">
      <xdr:nvSpPr>
        <xdr:cNvPr id="11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990600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297180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993775</xdr:colOff>
      <xdr:row>7</xdr:row>
      <xdr:rowOff>15240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2" name="1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42975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4" name="1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763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822325</xdr:colOff>
      <xdr:row>7</xdr:row>
      <xdr:rowOff>5715</xdr:rowOff>
    </xdr:to>
    <xdr:sp macro="" textlink="">
      <xdr:nvSpPr>
        <xdr:cNvPr id="13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7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8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635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335280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990600</xdr:colOff>
      <xdr:row>7</xdr:row>
      <xdr:rowOff>5715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390525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876300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45720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274320</xdr:colOff>
      <xdr:row>3</xdr:row>
      <xdr:rowOff>106680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7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4</xdr:col>
      <xdr:colOff>990600</xdr:colOff>
      <xdr:row>7</xdr:row>
      <xdr:rowOff>5715</xdr:rowOff>
    </xdr:to>
    <xdr:sp macro="" textlink="">
      <xdr:nvSpPr>
        <xdr:cNvPr id="8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0</xdr:colOff>
      <xdr:row>11</xdr:row>
      <xdr:rowOff>15240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4</xdr:col>
      <xdr:colOff>819150</xdr:colOff>
      <xdr:row>7</xdr:row>
      <xdr:rowOff>5715</xdr:rowOff>
    </xdr:to>
    <xdr:sp macro="" textlink="">
      <xdr:nvSpPr>
        <xdr:cNvPr id="11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2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1005840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5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8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828675</xdr:colOff>
      <xdr:row>7</xdr:row>
      <xdr:rowOff>83820</xdr:rowOff>
    </xdr:to>
    <xdr:sp macro="" textlink="">
      <xdr:nvSpPr>
        <xdr:cNvPr id="9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0</xdr:colOff>
      <xdr:row>11</xdr:row>
      <xdr:rowOff>24765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12700</xdr:rowOff>
    </xdr:from>
    <xdr:to>
      <xdr:col>0</xdr:col>
      <xdr:colOff>419100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121920</xdr:rowOff>
    </xdr:from>
    <xdr:to>
      <xdr:col>3</xdr:col>
      <xdr:colOff>742950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72390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352425</xdr:colOff>
      <xdr:row>0</xdr:row>
      <xdr:rowOff>47625</xdr:rowOff>
    </xdr:from>
    <xdr:to>
      <xdr:col>3</xdr:col>
      <xdr:colOff>657225</xdr:colOff>
      <xdr:row>1</xdr:row>
      <xdr:rowOff>106680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2933700" y="47625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106680</xdr:rowOff>
    </xdr:to>
    <xdr:sp macro="" textlink="">
      <xdr:nvSpPr>
        <xdr:cNvPr id="2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158115</xdr:colOff>
      <xdr:row>7</xdr:row>
      <xdr:rowOff>38100</xdr:rowOff>
    </xdr:to>
    <xdr:sp macro="" textlink="">
      <xdr:nvSpPr>
        <xdr:cNvPr id="3" name="AutoShape 4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289560</xdr:colOff>
      <xdr:row>3</xdr:row>
      <xdr:rowOff>106680</xdr:rowOff>
    </xdr:to>
    <xdr:sp macro="" textlink="">
      <xdr:nvSpPr>
        <xdr:cNvPr id="4" name="AutoShape 2" descr="file:///D:%5CDesktop%5CLogo%20Ventresca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11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99377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5</xdr:col>
      <xdr:colOff>123825</xdr:colOff>
      <xdr:row>7</xdr:row>
      <xdr:rowOff>5715</xdr:rowOff>
    </xdr:to>
    <xdr:sp macro="" textlink="">
      <xdr:nvSpPr>
        <xdr:cNvPr id="12" name="AutoShape 4" descr="file:///D:%5CDesktop%5CLogo%20Ventresca.png"/>
        <xdr:cNvSpPr>
          <a:spLocks noChangeAspect="1" noChangeArrowheads="1"/>
        </xdr:cNvSpPr>
      </xdr:nvSpPr>
      <xdr:spPr bwMode="auto">
        <a:xfrm>
          <a:off x="3209925" y="360045"/>
          <a:ext cx="98107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0</xdr:colOff>
      <xdr:row>11</xdr:row>
      <xdr:rowOff>24765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4400" y="2352675"/>
          <a:ext cx="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5</xdr:row>
      <xdr:rowOff>12700</xdr:rowOff>
    </xdr:from>
    <xdr:to>
      <xdr:col>1</xdr:col>
      <xdr:colOff>419100</xdr:colOff>
      <xdr:row>6</xdr:row>
      <xdr:rowOff>134620</xdr:rowOff>
    </xdr:to>
    <xdr:sp macro="" textlink="">
      <xdr:nvSpPr>
        <xdr:cNvPr id="9" name="AutoShape 2" descr="file:///D:%5CDesktop%5CLogo%20Ventresca.png"/>
        <xdr:cNvSpPr>
          <a:spLocks noChangeAspect="1" noChangeArrowheads="1"/>
        </xdr:cNvSpPr>
      </xdr:nvSpPr>
      <xdr:spPr bwMode="auto">
        <a:xfrm>
          <a:off x="219075" y="10223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121920</xdr:rowOff>
    </xdr:from>
    <xdr:to>
      <xdr:col>4</xdr:col>
      <xdr:colOff>1047750</xdr:colOff>
      <xdr:row>7</xdr:row>
      <xdr:rowOff>5715</xdr:rowOff>
    </xdr:to>
    <xdr:sp macro="" textlink="">
      <xdr:nvSpPr>
        <xdr:cNvPr id="10" name="AutoShape 4" descr="file:///D:%5CDesktop%5CLogo%20Ventresca.png"/>
        <xdr:cNvSpPr>
          <a:spLocks noChangeAspect="1" noChangeArrowheads="1"/>
        </xdr:cNvSpPr>
      </xdr:nvSpPr>
      <xdr:spPr bwMode="auto">
        <a:xfrm>
          <a:off x="3295650" y="360045"/>
          <a:ext cx="981075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3" name="AutoShape 2" descr="file:///D:%5CDesktop%5CLogo%20Ventresca.png"/>
        <xdr:cNvSpPr>
          <a:spLocks noChangeAspect="1" noChangeArrowheads="1"/>
        </xdr:cNvSpPr>
      </xdr:nvSpPr>
      <xdr:spPr bwMode="auto">
        <a:xfrm>
          <a:off x="8667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352425</xdr:colOff>
      <xdr:row>0</xdr:row>
      <xdr:rowOff>47625</xdr:rowOff>
    </xdr:from>
    <xdr:to>
      <xdr:col>4</xdr:col>
      <xdr:colOff>657225</xdr:colOff>
      <xdr:row>1</xdr:row>
      <xdr:rowOff>106680</xdr:rowOff>
    </xdr:to>
    <xdr:sp macro="" textlink="">
      <xdr:nvSpPr>
        <xdr:cNvPr id="14" name="AutoShape 2" descr="file:///D:%5CDesktop%5CLogo%20Ventresca.png"/>
        <xdr:cNvSpPr>
          <a:spLocks noChangeAspect="1" noChangeArrowheads="1"/>
        </xdr:cNvSpPr>
      </xdr:nvSpPr>
      <xdr:spPr bwMode="auto">
        <a:xfrm>
          <a:off x="2933700" y="47625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5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59055</xdr:rowOff>
    </xdr:to>
    <xdr:sp macro="" textlink="">
      <xdr:nvSpPr>
        <xdr:cNvPr id="16" name="AutoShape 2" descr="file:///D:%5CDesktop%5CLogo%20Ventresca.png"/>
        <xdr:cNvSpPr>
          <a:spLocks noChangeAspect="1" noChangeArrowheads="1"/>
        </xdr:cNvSpPr>
      </xdr:nvSpPr>
      <xdr:spPr bwMode="auto">
        <a:xfrm>
          <a:off x="1019175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81"/>
  <sheetViews>
    <sheetView workbookViewId="0">
      <selection activeCell="K62" sqref="K62"/>
    </sheetView>
  </sheetViews>
  <sheetFormatPr baseColWidth="10" defaultRowHeight="14.4" x14ac:dyDescent="0.55000000000000004"/>
  <cols>
    <col min="1" max="1" width="1.578125" customWidth="1"/>
    <col min="2" max="2" width="22.68359375" customWidth="1"/>
    <col min="3" max="3" width="16.41796875" customWidth="1"/>
    <col min="4" max="4" width="8.68359375" style="16" customWidth="1"/>
    <col min="5" max="5" width="16.26171875" style="8" customWidth="1"/>
    <col min="6" max="6" width="12.41796875" style="8" customWidth="1"/>
    <col min="7" max="7" width="13.41796875" style="8" customWidth="1"/>
    <col min="8" max="8" width="15.83984375" style="8" customWidth="1"/>
    <col min="9" max="9" width="15" style="2" customWidth="1"/>
    <col min="10" max="10" width="11.578125" customWidth="1"/>
    <col min="11" max="11" width="13" bestFit="1" customWidth="1"/>
  </cols>
  <sheetData>
    <row r="1" spans="2:11" ht="18.3" x14ac:dyDescent="0.7">
      <c r="C1" s="72" t="s">
        <v>137</v>
      </c>
      <c r="D1" s="71"/>
      <c r="I1" s="15"/>
      <c r="J1" s="4"/>
    </row>
    <row r="2" spans="2:11" ht="15.6" x14ac:dyDescent="0.6">
      <c r="C2" s="42" t="s">
        <v>138</v>
      </c>
      <c r="I2" s="23"/>
      <c r="J2" s="87"/>
      <c r="K2" s="4"/>
    </row>
    <row r="3" spans="2:11" x14ac:dyDescent="0.55000000000000004">
      <c r="C3" s="1"/>
      <c r="I3" s="23"/>
      <c r="J3" s="87"/>
      <c r="K3" s="4"/>
    </row>
    <row r="4" spans="2:11" x14ac:dyDescent="0.55000000000000004">
      <c r="B4" s="1" t="s">
        <v>0</v>
      </c>
      <c r="G4" s="34" t="s">
        <v>3</v>
      </c>
      <c r="H4" s="35"/>
      <c r="I4" s="15"/>
      <c r="J4" s="4"/>
      <c r="K4" s="4"/>
    </row>
    <row r="5" spans="2:11" x14ac:dyDescent="0.55000000000000004">
      <c r="B5" t="s">
        <v>1</v>
      </c>
      <c r="G5" s="35" t="s">
        <v>4</v>
      </c>
      <c r="H5" s="35"/>
    </row>
    <row r="6" spans="2:11" x14ac:dyDescent="0.55000000000000004">
      <c r="B6" t="s">
        <v>2</v>
      </c>
      <c r="G6" s="35" t="s">
        <v>5</v>
      </c>
      <c r="H6" s="35"/>
    </row>
    <row r="7" spans="2:11" x14ac:dyDescent="0.55000000000000004">
      <c r="B7" s="91">
        <v>1168722530</v>
      </c>
    </row>
    <row r="8" spans="2:11" ht="15.9" thickBot="1" x14ac:dyDescent="0.65">
      <c r="D8" s="39"/>
      <c r="E8" s="40" t="s">
        <v>0</v>
      </c>
      <c r="F8" s="41"/>
    </row>
    <row r="9" spans="2:11" ht="14.7" hidden="1" thickBot="1" x14ac:dyDescent="0.6">
      <c r="B9" s="1" t="s">
        <v>7</v>
      </c>
      <c r="C9" s="1"/>
    </row>
    <row r="10" spans="2:11" ht="14.7" hidden="1" thickBot="1" x14ac:dyDescent="0.6">
      <c r="B10" t="s">
        <v>8</v>
      </c>
    </row>
    <row r="11" spans="2:11" ht="14.7" hidden="1" thickBot="1" x14ac:dyDescent="0.6">
      <c r="B11" t="s">
        <v>9</v>
      </c>
    </row>
    <row r="12" spans="2:11" ht="14.7" hidden="1" thickBot="1" x14ac:dyDescent="0.6">
      <c r="B12" t="s">
        <v>10</v>
      </c>
    </row>
    <row r="13" spans="2:11" ht="14.7" hidden="1" thickBot="1" x14ac:dyDescent="0.6">
      <c r="B13" t="s">
        <v>11</v>
      </c>
    </row>
    <row r="14" spans="2:11" ht="14.7" hidden="1" thickBot="1" x14ac:dyDescent="0.6">
      <c r="B14" s="1" t="s">
        <v>13</v>
      </c>
      <c r="H14" s="33">
        <f>SUM(D10+D11+D12+D13)</f>
        <v>0</v>
      </c>
    </row>
    <row r="15" spans="2:11" ht="14.7" thickBot="1" x14ac:dyDescent="0.6">
      <c r="B15" s="27"/>
      <c r="C15" s="28"/>
      <c r="D15" s="29" t="s">
        <v>12</v>
      </c>
      <c r="E15" s="30"/>
      <c r="F15" s="85" t="s">
        <v>15</v>
      </c>
      <c r="G15" s="85" t="s">
        <v>70</v>
      </c>
      <c r="H15" s="86" t="s">
        <v>16</v>
      </c>
      <c r="I15" s="82" t="s">
        <v>85</v>
      </c>
    </row>
    <row r="16" spans="2:11" x14ac:dyDescent="0.55000000000000004">
      <c r="B16" s="3" t="s">
        <v>14</v>
      </c>
      <c r="F16" s="7"/>
      <c r="G16" s="7"/>
      <c r="H16" s="7"/>
      <c r="I16" s="83"/>
    </row>
    <row r="17" spans="2:12" ht="14.7" thickBot="1" x14ac:dyDescent="0.6">
      <c r="B17" t="s">
        <v>134</v>
      </c>
      <c r="C17" s="2"/>
      <c r="D17" s="2"/>
      <c r="F17" s="70">
        <v>754089</v>
      </c>
      <c r="G17" s="7"/>
      <c r="H17" s="7">
        <f>F17</f>
        <v>754089</v>
      </c>
      <c r="I17" s="84"/>
    </row>
    <row r="18" spans="2:12" ht="14.7" thickBot="1" x14ac:dyDescent="0.6">
      <c r="E18" s="21" t="s">
        <v>20</v>
      </c>
      <c r="F18" s="9">
        <f>SUM(F17:F17)</f>
        <v>754089</v>
      </c>
      <c r="G18" s="9">
        <f>SUM(G17:G17)</f>
        <v>0</v>
      </c>
      <c r="H18" s="9">
        <f>SUM(H17:H17)</f>
        <v>754089</v>
      </c>
      <c r="I18" s="83"/>
    </row>
    <row r="19" spans="2:12" x14ac:dyDescent="0.55000000000000004">
      <c r="B19" s="3" t="s">
        <v>18</v>
      </c>
      <c r="F19" s="6"/>
      <c r="G19" s="6"/>
      <c r="H19" s="22"/>
      <c r="I19" s="5"/>
    </row>
    <row r="20" spans="2:12" x14ac:dyDescent="0.55000000000000004">
      <c r="B20" t="s">
        <v>17</v>
      </c>
      <c r="F20" s="70">
        <v>91219.13</v>
      </c>
      <c r="G20" s="7"/>
      <c r="H20" s="73">
        <f>F20</f>
        <v>91219.13</v>
      </c>
      <c r="I20" s="5"/>
    </row>
    <row r="21" spans="2:12" ht="14.7" thickBot="1" x14ac:dyDescent="0.6">
      <c r="B21" t="s">
        <v>109</v>
      </c>
      <c r="F21" s="99">
        <v>599664.24</v>
      </c>
      <c r="G21" s="7"/>
      <c r="H21" s="7">
        <f t="shared" ref="H21" si="0">F21</f>
        <v>599664.24</v>
      </c>
      <c r="I21" s="5"/>
    </row>
    <row r="22" spans="2:12" ht="14.7" thickBot="1" x14ac:dyDescent="0.6">
      <c r="E22" s="21" t="s">
        <v>21</v>
      </c>
      <c r="F22" s="100">
        <f>SUM(F20:F21)</f>
        <v>690883.37</v>
      </c>
      <c r="G22" s="100">
        <f>SUM(G20:G21)</f>
        <v>0</v>
      </c>
      <c r="H22" s="100">
        <f>SUM(H20:H21)</f>
        <v>690883.37</v>
      </c>
      <c r="I22" s="5"/>
    </row>
    <row r="23" spans="2:12" x14ac:dyDescent="0.55000000000000004">
      <c r="B23" s="3" t="s">
        <v>19</v>
      </c>
      <c r="C23" s="2"/>
      <c r="F23" s="6"/>
      <c r="G23" s="6"/>
      <c r="H23" s="22">
        <f t="shared" ref="H23:H26" si="1">F23+G23</f>
        <v>0</v>
      </c>
      <c r="I23" s="5"/>
    </row>
    <row r="24" spans="2:12" x14ac:dyDescent="0.55000000000000004">
      <c r="B24" t="s">
        <v>22</v>
      </c>
      <c r="F24" s="70">
        <v>350000</v>
      </c>
      <c r="G24" s="7"/>
      <c r="H24" s="73">
        <f t="shared" si="1"/>
        <v>350000</v>
      </c>
      <c r="I24" s="5"/>
    </row>
    <row r="25" spans="2:12" x14ac:dyDescent="0.55000000000000004">
      <c r="B25" t="s">
        <v>105</v>
      </c>
      <c r="F25" s="70">
        <v>821</v>
      </c>
      <c r="G25" s="7"/>
      <c r="H25" s="73">
        <f t="shared" si="1"/>
        <v>821</v>
      </c>
      <c r="I25" s="5"/>
    </row>
    <row r="26" spans="2:12" s="2" customFormat="1" ht="14.7" thickBot="1" x14ac:dyDescent="0.6">
      <c r="B26" t="s">
        <v>82</v>
      </c>
      <c r="C26"/>
      <c r="D26" s="16"/>
      <c r="E26" s="8"/>
      <c r="F26" s="70">
        <v>0</v>
      </c>
      <c r="G26" s="7"/>
      <c r="H26" s="73">
        <f t="shared" si="1"/>
        <v>0</v>
      </c>
      <c r="I26" s="5"/>
      <c r="J26"/>
      <c r="K26"/>
      <c r="L26"/>
    </row>
    <row r="27" spans="2:12" s="2" customFormat="1" ht="14.7" thickBot="1" x14ac:dyDescent="0.6">
      <c r="B27"/>
      <c r="C27"/>
      <c r="D27" s="16"/>
      <c r="E27" s="21" t="s">
        <v>24</v>
      </c>
      <c r="F27" s="9">
        <f>SUM(F24:F26)</f>
        <v>350821</v>
      </c>
      <c r="G27" s="9"/>
      <c r="H27" s="9">
        <f>SUM(H24:H26)</f>
        <v>350821</v>
      </c>
      <c r="I27" s="5"/>
      <c r="J27"/>
      <c r="K27"/>
      <c r="L27"/>
    </row>
    <row r="28" spans="2:12" s="2" customFormat="1" x14ac:dyDescent="0.55000000000000004">
      <c r="B28" s="3" t="s">
        <v>25</v>
      </c>
      <c r="C28"/>
      <c r="D28" s="16"/>
      <c r="E28" s="8"/>
      <c r="F28" s="6"/>
      <c r="G28" s="6"/>
      <c r="H28" s="22">
        <f t="shared" ref="H28:H31" si="2">F28+G28</f>
        <v>0</v>
      </c>
      <c r="I28" s="5"/>
      <c r="J28"/>
      <c r="K28"/>
      <c r="L28"/>
    </row>
    <row r="29" spans="2:12" s="2" customFormat="1" x14ac:dyDescent="0.55000000000000004">
      <c r="B29" t="s">
        <v>84</v>
      </c>
      <c r="C29"/>
      <c r="D29" s="16"/>
      <c r="E29" s="8"/>
      <c r="F29" s="70">
        <v>66000</v>
      </c>
      <c r="G29" s="7"/>
      <c r="H29" s="73">
        <f t="shared" si="2"/>
        <v>66000</v>
      </c>
      <c r="I29" s="5"/>
      <c r="J29"/>
      <c r="K29"/>
      <c r="L29"/>
    </row>
    <row r="30" spans="2:12" s="2" customFormat="1" x14ac:dyDescent="0.55000000000000004">
      <c r="B30" t="s">
        <v>139</v>
      </c>
      <c r="C30"/>
      <c r="D30" s="16"/>
      <c r="E30" s="8"/>
      <c r="F30" s="70">
        <v>215000</v>
      </c>
      <c r="G30" s="7"/>
      <c r="H30" s="73">
        <f t="shared" si="2"/>
        <v>215000</v>
      </c>
      <c r="I30" s="5"/>
      <c r="J30"/>
      <c r="K30"/>
      <c r="L30"/>
    </row>
    <row r="31" spans="2:12" s="2" customFormat="1" ht="14.7" thickBot="1" x14ac:dyDescent="0.6">
      <c r="B31" t="s">
        <v>90</v>
      </c>
      <c r="C31" s="101"/>
      <c r="D31" s="16"/>
      <c r="E31" s="8"/>
      <c r="F31" s="99">
        <v>335500.14</v>
      </c>
      <c r="G31" s="7"/>
      <c r="H31" s="73">
        <f t="shared" si="2"/>
        <v>335500.14</v>
      </c>
      <c r="I31" s="5"/>
      <c r="J31" s="80"/>
      <c r="K31"/>
      <c r="L31"/>
    </row>
    <row r="32" spans="2:12" s="2" customFormat="1" ht="14.7" thickBot="1" x14ac:dyDescent="0.6">
      <c r="B32"/>
      <c r="C32"/>
      <c r="D32" s="16"/>
      <c r="E32" s="21" t="s">
        <v>26</v>
      </c>
      <c r="F32" s="103">
        <f>SUM(F29:F31)</f>
        <v>616500.14</v>
      </c>
      <c r="G32" s="103">
        <f>SUM(G29:G31)</f>
        <v>0</v>
      </c>
      <c r="H32" s="103">
        <f>SUM(H29:H31)</f>
        <v>616500.14</v>
      </c>
      <c r="I32" s="84"/>
      <c r="J32"/>
      <c r="K32"/>
      <c r="L32"/>
    </row>
    <row r="33" spans="1:10" x14ac:dyDescent="0.55000000000000004">
      <c r="A33" t="s">
        <v>63</v>
      </c>
      <c r="B33" s="3" t="s">
        <v>27</v>
      </c>
      <c r="F33" s="7"/>
      <c r="G33" s="7"/>
      <c r="H33" s="7">
        <f t="shared" ref="H33" si="3">F33+G33</f>
        <v>0</v>
      </c>
      <c r="I33" s="84"/>
    </row>
    <row r="34" spans="1:10" x14ac:dyDescent="0.55000000000000004">
      <c r="B34" s="63" t="s">
        <v>129</v>
      </c>
      <c r="F34" s="7">
        <v>36133.910000000003</v>
      </c>
      <c r="G34" s="7"/>
      <c r="H34" s="73">
        <f>F34+G34</f>
        <v>36133.910000000003</v>
      </c>
      <c r="I34" s="84"/>
    </row>
    <row r="35" spans="1:10" ht="14.7" thickBot="1" x14ac:dyDescent="0.6">
      <c r="B35" t="s">
        <v>104</v>
      </c>
      <c r="F35" s="70">
        <v>147767.6</v>
      </c>
      <c r="G35" s="7"/>
      <c r="H35" s="73">
        <f t="shared" ref="H35" si="4">F35+G35</f>
        <v>147767.6</v>
      </c>
      <c r="I35" s="84"/>
    </row>
    <row r="36" spans="1:10" ht="14.7" thickBot="1" x14ac:dyDescent="0.6">
      <c r="B36" s="3"/>
      <c r="E36" s="21" t="s">
        <v>28</v>
      </c>
      <c r="F36" s="19">
        <f>SUM(F34:F35)</f>
        <v>183901.51</v>
      </c>
      <c r="G36" s="19">
        <f>SUM(G34:G35)</f>
        <v>0</v>
      </c>
      <c r="H36" s="19">
        <f>SUM(H34:H35)</f>
        <v>183901.51</v>
      </c>
      <c r="I36" s="84"/>
    </row>
    <row r="37" spans="1:10" ht="14.7" thickBot="1" x14ac:dyDescent="0.6">
      <c r="B37" s="54" t="s">
        <v>34</v>
      </c>
      <c r="C37" s="55"/>
      <c r="D37" s="37"/>
      <c r="E37" s="56"/>
      <c r="F37" s="38">
        <f>SUM(F18+F22+F27+F36+F32)</f>
        <v>2596195.02</v>
      </c>
      <c r="G37" s="38">
        <f>G36</f>
        <v>0</v>
      </c>
      <c r="H37" s="56">
        <f>SUM(H18+H22+H27+H32+H36)</f>
        <v>2596195.0200000005</v>
      </c>
      <c r="I37" s="5"/>
    </row>
    <row r="38" spans="1:10" ht="14.7" thickBot="1" x14ac:dyDescent="0.6">
      <c r="B38" s="36"/>
      <c r="C38" s="53" t="s">
        <v>29</v>
      </c>
      <c r="D38" s="37"/>
      <c r="E38" s="38"/>
      <c r="F38" s="61" t="s">
        <v>58</v>
      </c>
      <c r="G38" s="61" t="s">
        <v>121</v>
      </c>
      <c r="H38" s="74" t="s">
        <v>16</v>
      </c>
      <c r="I38" s="5"/>
    </row>
    <row r="39" spans="1:10" x14ac:dyDescent="0.55000000000000004">
      <c r="B39" s="3" t="s">
        <v>30</v>
      </c>
      <c r="F39" s="6">
        <v>397522.6</v>
      </c>
      <c r="G39" s="6">
        <v>3954413</v>
      </c>
      <c r="H39" s="22">
        <f>+F39</f>
        <v>397522.6</v>
      </c>
      <c r="I39" s="5"/>
    </row>
    <row r="40" spans="1:10" x14ac:dyDescent="0.55000000000000004">
      <c r="B40" s="2" t="s">
        <v>102</v>
      </c>
      <c r="F40" s="7">
        <f>+F69</f>
        <v>2660650.9399999995</v>
      </c>
      <c r="G40" s="7"/>
      <c r="H40" s="73">
        <f>F40+G40</f>
        <v>2660650.9399999995</v>
      </c>
      <c r="I40" s="5"/>
    </row>
    <row r="41" spans="1:10" x14ac:dyDescent="0.55000000000000004">
      <c r="B41" s="2" t="s">
        <v>113</v>
      </c>
      <c r="F41" s="7">
        <f>-H37</f>
        <v>-2596195.0200000005</v>
      </c>
      <c r="G41" s="7">
        <v>0</v>
      </c>
      <c r="H41" s="73">
        <v>0</v>
      </c>
      <c r="I41" s="5"/>
    </row>
    <row r="42" spans="1:10" x14ac:dyDescent="0.55000000000000004">
      <c r="B42" s="2" t="s">
        <v>95</v>
      </c>
      <c r="F42" s="7">
        <v>0</v>
      </c>
      <c r="G42" s="7">
        <v>0</v>
      </c>
      <c r="H42" s="73">
        <f>F42+G42</f>
        <v>0</v>
      </c>
      <c r="I42" s="81" t="s">
        <v>110</v>
      </c>
      <c r="J42" s="80"/>
    </row>
    <row r="43" spans="1:10" x14ac:dyDescent="0.55000000000000004">
      <c r="B43" s="2" t="s">
        <v>114</v>
      </c>
      <c r="F43" s="7">
        <v>0</v>
      </c>
      <c r="G43" s="7">
        <v>0</v>
      </c>
      <c r="H43" s="73">
        <f>+F43</f>
        <v>0</v>
      </c>
      <c r="I43" s="81"/>
      <c r="J43" s="80"/>
    </row>
    <row r="44" spans="1:10" ht="14.7" thickBot="1" x14ac:dyDescent="0.6">
      <c r="B44" s="5" t="s">
        <v>59</v>
      </c>
      <c r="C44" s="57"/>
      <c r="D44" s="58">
        <v>46054</v>
      </c>
      <c r="E44" s="7"/>
      <c r="F44" s="7">
        <v>0</v>
      </c>
      <c r="G44" s="7">
        <v>662048</v>
      </c>
      <c r="H44" s="73">
        <v>0</v>
      </c>
      <c r="I44" s="5"/>
    </row>
    <row r="45" spans="1:10" ht="14.7" thickBot="1" x14ac:dyDescent="0.6">
      <c r="B45" s="59"/>
      <c r="C45" s="55"/>
      <c r="D45" s="60" t="s">
        <v>60</v>
      </c>
      <c r="E45" s="38"/>
      <c r="F45" s="62">
        <f>SUM(F39:F44)</f>
        <v>461978.51999999909</v>
      </c>
      <c r="G45" s="62">
        <f>SUM(G39:G44)</f>
        <v>4616461</v>
      </c>
      <c r="H45" s="75">
        <f>SUM(H39:H44)</f>
        <v>3058173.5399999996</v>
      </c>
      <c r="I45" s="5"/>
    </row>
    <row r="46" spans="1:10" ht="14.7" thickBot="1" x14ac:dyDescent="0.6">
      <c r="B46" t="s">
        <v>33</v>
      </c>
      <c r="F46" s="52"/>
      <c r="G46" s="62">
        <v>0</v>
      </c>
      <c r="H46" s="76">
        <f>-H37</f>
        <v>-2596195.0200000005</v>
      </c>
      <c r="I46" s="5"/>
    </row>
    <row r="47" spans="1:10" x14ac:dyDescent="0.55000000000000004">
      <c r="B47" s="47"/>
      <c r="C47" s="47"/>
      <c r="D47" s="48"/>
      <c r="E47" s="49"/>
      <c r="F47" s="46"/>
      <c r="G47" s="46"/>
      <c r="H47" s="77">
        <f>SUM(H45+H46)</f>
        <v>461978.51999999909</v>
      </c>
      <c r="I47" s="5"/>
    </row>
    <row r="48" spans="1:10" ht="14.7" thickBot="1" x14ac:dyDescent="0.6">
      <c r="B48" s="50" t="s">
        <v>141</v>
      </c>
      <c r="C48" s="43"/>
      <c r="D48" s="44"/>
      <c r="E48" s="45"/>
      <c r="F48" s="45"/>
      <c r="G48" s="45"/>
      <c r="H48" s="78">
        <f>H47</f>
        <v>461978.51999999909</v>
      </c>
      <c r="I48" s="5"/>
    </row>
    <row r="49" spans="2:11" ht="14.7" thickBot="1" x14ac:dyDescent="0.6">
      <c r="B49" s="13" t="s">
        <v>43</v>
      </c>
      <c r="C49" s="14" t="s">
        <v>62</v>
      </c>
      <c r="D49" s="17" t="s">
        <v>56</v>
      </c>
      <c r="E49" s="51" t="s">
        <v>135</v>
      </c>
      <c r="F49" s="20" t="s">
        <v>44</v>
      </c>
      <c r="G49" s="14" t="s">
        <v>45</v>
      </c>
      <c r="H49" s="51" t="s">
        <v>136</v>
      </c>
      <c r="I49" s="79" t="s">
        <v>57</v>
      </c>
    </row>
    <row r="50" spans="2:11" ht="14.7" thickBot="1" x14ac:dyDescent="0.6">
      <c r="B50" s="11" t="s">
        <v>86</v>
      </c>
      <c r="C50" s="12" t="s">
        <v>93</v>
      </c>
      <c r="D50" s="31">
        <v>5.93</v>
      </c>
      <c r="E50" s="90">
        <v>165211.85</v>
      </c>
      <c r="F50" s="90">
        <v>165211.85</v>
      </c>
      <c r="G50" s="89">
        <f>E50-F50</f>
        <v>0</v>
      </c>
      <c r="H50" s="90">
        <f>E50*1.03</f>
        <v>170168.20550000001</v>
      </c>
      <c r="I50" s="93">
        <f>G50+H50</f>
        <v>170168.20550000001</v>
      </c>
    </row>
    <row r="51" spans="2:11" ht="14.7" thickBot="1" x14ac:dyDescent="0.6">
      <c r="B51" s="10" t="s">
        <v>87</v>
      </c>
      <c r="C51" s="5" t="s">
        <v>36</v>
      </c>
      <c r="D51" s="32">
        <v>5.9</v>
      </c>
      <c r="E51" s="90">
        <v>154625.51999999999</v>
      </c>
      <c r="F51" s="90">
        <v>154625.51999999999</v>
      </c>
      <c r="G51" s="89">
        <f t="shared" ref="G51:G68" si="5">E51-F51</f>
        <v>0</v>
      </c>
      <c r="H51" s="90">
        <f>E51*1.03</f>
        <v>159264.2856</v>
      </c>
      <c r="I51" s="93">
        <f>G51+H51</f>
        <v>159264.2856</v>
      </c>
    </row>
    <row r="52" spans="2:11" ht="14.7" thickBot="1" x14ac:dyDescent="0.6">
      <c r="B52" s="10" t="s">
        <v>52</v>
      </c>
      <c r="C52" s="5" t="s">
        <v>130</v>
      </c>
      <c r="D52" s="32">
        <v>3.32</v>
      </c>
      <c r="E52" s="90">
        <v>92579.72</v>
      </c>
      <c r="F52" s="90">
        <v>92579.72</v>
      </c>
      <c r="G52" s="89">
        <f t="shared" si="5"/>
        <v>0</v>
      </c>
      <c r="H52" s="90">
        <f>E52*1.03</f>
        <v>95357.111600000004</v>
      </c>
      <c r="I52" s="93">
        <f t="shared" ref="I52:I68" si="6">G52+H52</f>
        <v>95357.111600000004</v>
      </c>
      <c r="K52" s="105"/>
    </row>
    <row r="53" spans="2:11" ht="14.7" thickBot="1" x14ac:dyDescent="0.6">
      <c r="B53" s="10" t="s">
        <v>38</v>
      </c>
      <c r="C53" s="5" t="s">
        <v>120</v>
      </c>
      <c r="D53" s="32">
        <v>5.17</v>
      </c>
      <c r="E53" s="90">
        <v>163984.24</v>
      </c>
      <c r="F53" s="90">
        <v>164000</v>
      </c>
      <c r="G53" s="89">
        <f t="shared" si="5"/>
        <v>-15.760000000009313</v>
      </c>
      <c r="H53" s="90">
        <f>E53*1.03</f>
        <v>168903.7672</v>
      </c>
      <c r="I53" s="93">
        <f t="shared" si="6"/>
        <v>168888.00719999999</v>
      </c>
    </row>
    <row r="54" spans="2:11" ht="14.7" thickBot="1" x14ac:dyDescent="0.6">
      <c r="B54" s="10" t="s">
        <v>46</v>
      </c>
      <c r="C54" s="5" t="s">
        <v>116</v>
      </c>
      <c r="D54" s="32">
        <v>3.91</v>
      </c>
      <c r="E54" s="90">
        <v>87258</v>
      </c>
      <c r="F54" s="90">
        <v>87258</v>
      </c>
      <c r="G54" s="89">
        <f t="shared" si="5"/>
        <v>0</v>
      </c>
      <c r="H54" s="90">
        <f>E54*1.03</f>
        <v>89875.74</v>
      </c>
      <c r="I54" s="93">
        <f t="shared" si="6"/>
        <v>89875.74</v>
      </c>
    </row>
    <row r="55" spans="2:11" ht="14.7" thickBot="1" x14ac:dyDescent="0.6">
      <c r="B55" s="10" t="s">
        <v>68</v>
      </c>
      <c r="C55" s="64" t="s">
        <v>143</v>
      </c>
      <c r="D55" s="32">
        <v>6.09</v>
      </c>
      <c r="E55" s="90">
        <v>136662.1</v>
      </c>
      <c r="F55" s="90">
        <v>136662.1</v>
      </c>
      <c r="G55" s="89">
        <f t="shared" si="5"/>
        <v>0</v>
      </c>
      <c r="H55" s="90">
        <f t="shared" ref="H55:H68" si="7">E55*1.03</f>
        <v>140761.96300000002</v>
      </c>
      <c r="I55" s="93">
        <f t="shared" si="6"/>
        <v>140761.96300000002</v>
      </c>
    </row>
    <row r="56" spans="2:11" ht="14.7" thickBot="1" x14ac:dyDescent="0.6">
      <c r="B56" s="10" t="s">
        <v>91</v>
      </c>
      <c r="C56" s="5" t="s">
        <v>47</v>
      </c>
      <c r="D56" s="32">
        <v>7.22</v>
      </c>
      <c r="E56" s="90">
        <v>176088.87</v>
      </c>
      <c r="F56" s="90">
        <v>176088.87</v>
      </c>
      <c r="G56" s="89">
        <f t="shared" si="5"/>
        <v>0</v>
      </c>
      <c r="H56" s="90">
        <f t="shared" si="7"/>
        <v>181371.5361</v>
      </c>
      <c r="I56" s="93">
        <f t="shared" si="6"/>
        <v>181371.5361</v>
      </c>
    </row>
    <row r="57" spans="2:11" ht="14.7" thickBot="1" x14ac:dyDescent="0.6">
      <c r="B57" s="10" t="s">
        <v>65</v>
      </c>
      <c r="C57" s="5" t="s">
        <v>117</v>
      </c>
      <c r="D57" s="32">
        <v>6.01</v>
      </c>
      <c r="E57" s="90">
        <v>178502.16</v>
      </c>
      <c r="F57" s="90">
        <v>178502.16</v>
      </c>
      <c r="G57" s="89">
        <f t="shared" si="5"/>
        <v>0</v>
      </c>
      <c r="H57" s="90">
        <f t="shared" si="7"/>
        <v>183857.2248</v>
      </c>
      <c r="I57" s="93">
        <f t="shared" si="6"/>
        <v>183857.2248</v>
      </c>
    </row>
    <row r="58" spans="2:11" ht="14.7" thickBot="1" x14ac:dyDescent="0.6">
      <c r="B58" s="10" t="s">
        <v>48</v>
      </c>
      <c r="C58" s="5" t="s">
        <v>47</v>
      </c>
      <c r="D58" s="32">
        <v>5.22</v>
      </c>
      <c r="E58" s="90">
        <v>148707.87</v>
      </c>
      <c r="F58" s="90">
        <v>148707.87</v>
      </c>
      <c r="G58" s="89">
        <f t="shared" si="5"/>
        <v>0</v>
      </c>
      <c r="H58" s="90">
        <f t="shared" si="7"/>
        <v>153169.1061</v>
      </c>
      <c r="I58" s="93">
        <f t="shared" si="6"/>
        <v>153169.1061</v>
      </c>
    </row>
    <row r="59" spans="2:11" ht="14.7" thickBot="1" x14ac:dyDescent="0.6">
      <c r="B59" s="10" t="s">
        <v>54</v>
      </c>
      <c r="C59" s="5" t="s">
        <v>50</v>
      </c>
      <c r="D59" s="32">
        <v>7.09</v>
      </c>
      <c r="E59" s="90">
        <v>114492.82</v>
      </c>
      <c r="F59" s="90">
        <v>114492.82</v>
      </c>
      <c r="G59" s="89">
        <f t="shared" si="5"/>
        <v>0</v>
      </c>
      <c r="H59" s="90">
        <f>176314.09*1.03</f>
        <v>181603.51269999999</v>
      </c>
      <c r="I59" s="93">
        <f t="shared" si="6"/>
        <v>181603.51269999999</v>
      </c>
    </row>
    <row r="60" spans="2:11" ht="14.7" thickBot="1" x14ac:dyDescent="0.6">
      <c r="B60" s="10" t="s">
        <v>39</v>
      </c>
      <c r="C60" s="5" t="s">
        <v>92</v>
      </c>
      <c r="D60" s="32">
        <v>2.63</v>
      </c>
      <c r="E60" s="90">
        <v>71337.56</v>
      </c>
      <c r="F60" s="90">
        <v>71337.56</v>
      </c>
      <c r="G60" s="89">
        <f t="shared" si="5"/>
        <v>0</v>
      </c>
      <c r="H60" s="90">
        <f t="shared" si="7"/>
        <v>73477.686799999996</v>
      </c>
      <c r="I60" s="93">
        <f t="shared" si="6"/>
        <v>73477.686799999996</v>
      </c>
    </row>
    <row r="61" spans="2:11" ht="14.7" thickBot="1" x14ac:dyDescent="0.6">
      <c r="B61" s="10" t="s">
        <v>55</v>
      </c>
      <c r="C61" s="5" t="s">
        <v>35</v>
      </c>
      <c r="D61" s="32">
        <v>5.98</v>
      </c>
      <c r="E61" s="90">
        <v>165148.13</v>
      </c>
      <c r="F61" s="90">
        <v>165149</v>
      </c>
      <c r="G61" s="89">
        <f t="shared" si="5"/>
        <v>-0.86999999999534339</v>
      </c>
      <c r="H61" s="90">
        <f t="shared" si="7"/>
        <v>170102.57390000002</v>
      </c>
      <c r="I61" s="93">
        <f t="shared" si="6"/>
        <v>170101.70390000002</v>
      </c>
    </row>
    <row r="62" spans="2:11" ht="14.7" thickBot="1" x14ac:dyDescent="0.6">
      <c r="B62" s="10" t="s">
        <v>64</v>
      </c>
      <c r="C62" s="5" t="s">
        <v>88</v>
      </c>
      <c r="D62" s="32">
        <v>5.74</v>
      </c>
      <c r="E62" s="90">
        <v>168711.31</v>
      </c>
      <c r="F62" s="90">
        <v>168711.31</v>
      </c>
      <c r="G62" s="89">
        <f t="shared" si="5"/>
        <v>0</v>
      </c>
      <c r="H62" s="90">
        <f t="shared" si="7"/>
        <v>173772.64929999999</v>
      </c>
      <c r="I62" s="93">
        <f t="shared" si="6"/>
        <v>173772.64929999999</v>
      </c>
    </row>
    <row r="63" spans="2:11" ht="14.7" thickBot="1" x14ac:dyDescent="0.6">
      <c r="B63" s="10" t="s">
        <v>71</v>
      </c>
      <c r="C63" s="5" t="s">
        <v>122</v>
      </c>
      <c r="D63" s="32">
        <v>6.39</v>
      </c>
      <c r="E63" s="90">
        <v>169935.62</v>
      </c>
      <c r="F63" s="90">
        <v>169935.62</v>
      </c>
      <c r="G63" s="89">
        <f t="shared" si="5"/>
        <v>0</v>
      </c>
      <c r="H63" s="90">
        <f>165883.59*1.03</f>
        <v>170860.09770000001</v>
      </c>
      <c r="I63" s="93">
        <f t="shared" si="6"/>
        <v>170860.09770000001</v>
      </c>
    </row>
    <row r="64" spans="2:11" ht="14.7" thickBot="1" x14ac:dyDescent="0.6">
      <c r="B64" s="10" t="s">
        <v>40</v>
      </c>
      <c r="C64" s="5" t="s">
        <v>67</v>
      </c>
      <c r="D64" s="32">
        <v>5.21</v>
      </c>
      <c r="E64" s="90">
        <v>143095.62</v>
      </c>
      <c r="F64" s="90">
        <v>143100</v>
      </c>
      <c r="G64" s="89">
        <f t="shared" si="5"/>
        <v>-4.3800000000046566</v>
      </c>
      <c r="H64" s="90">
        <f t="shared" si="7"/>
        <v>147388.48860000001</v>
      </c>
      <c r="I64" s="93">
        <f t="shared" si="6"/>
        <v>147384.10860000001</v>
      </c>
    </row>
    <row r="65" spans="2:12" ht="14.7" thickBot="1" x14ac:dyDescent="0.6">
      <c r="B65" s="10" t="s">
        <v>89</v>
      </c>
      <c r="C65" s="95" t="s">
        <v>107</v>
      </c>
      <c r="D65" s="32">
        <v>5.22</v>
      </c>
      <c r="E65" s="90">
        <v>147713.78</v>
      </c>
      <c r="F65" s="90">
        <v>147713.78</v>
      </c>
      <c r="G65" s="89">
        <f t="shared" si="5"/>
        <v>0</v>
      </c>
      <c r="H65" s="90">
        <f t="shared" si="7"/>
        <v>152145.19339999999</v>
      </c>
      <c r="I65" s="93">
        <f t="shared" si="6"/>
        <v>152145.19339999999</v>
      </c>
    </row>
    <row r="66" spans="2:12" ht="14.7" thickBot="1" x14ac:dyDescent="0.6">
      <c r="B66" s="10" t="s">
        <v>41</v>
      </c>
      <c r="C66" s="95" t="s">
        <v>106</v>
      </c>
      <c r="D66" s="32">
        <v>2.61</v>
      </c>
      <c r="E66" s="90">
        <v>73501.72</v>
      </c>
      <c r="F66" s="90">
        <v>73502</v>
      </c>
      <c r="G66" s="89">
        <f t="shared" si="5"/>
        <v>-0.27999999999883585</v>
      </c>
      <c r="H66" s="90">
        <f t="shared" si="7"/>
        <v>75706.771600000007</v>
      </c>
      <c r="I66" s="93">
        <f t="shared" si="6"/>
        <v>75706.491600000008</v>
      </c>
    </row>
    <row r="67" spans="2:12" ht="14.7" thickBot="1" x14ac:dyDescent="0.6">
      <c r="B67" s="10" t="s">
        <v>42</v>
      </c>
      <c r="C67" s="5" t="s">
        <v>49</v>
      </c>
      <c r="D67" s="32">
        <v>5.45</v>
      </c>
      <c r="E67" s="90">
        <v>151536.38</v>
      </c>
      <c r="F67" s="90">
        <v>151536.38</v>
      </c>
      <c r="G67" s="89">
        <f t="shared" si="5"/>
        <v>0</v>
      </c>
      <c r="H67" s="90">
        <f t="shared" si="7"/>
        <v>156082.47140000001</v>
      </c>
      <c r="I67" s="93">
        <f t="shared" si="6"/>
        <v>156082.47140000001</v>
      </c>
    </row>
    <row r="68" spans="2:12" x14ac:dyDescent="0.55000000000000004">
      <c r="B68" s="10" t="s">
        <v>53</v>
      </c>
      <c r="C68" s="5" t="s">
        <v>131</v>
      </c>
      <c r="D68" s="32">
        <v>4.91</v>
      </c>
      <c r="E68" s="90">
        <v>151536.38</v>
      </c>
      <c r="F68" s="90">
        <v>151536.38</v>
      </c>
      <c r="G68" s="89">
        <f t="shared" si="5"/>
        <v>0</v>
      </c>
      <c r="H68" s="90">
        <f t="shared" si="7"/>
        <v>156082.47140000001</v>
      </c>
      <c r="I68" s="93">
        <f t="shared" si="6"/>
        <v>156082.47140000001</v>
      </c>
    </row>
    <row r="69" spans="2:12" x14ac:dyDescent="0.55000000000000004">
      <c r="B69" s="24"/>
      <c r="C69" s="25"/>
      <c r="D69" s="26">
        <f t="shared" ref="D69" si="8">SUM(D50:D68)</f>
        <v>99.999999999999986</v>
      </c>
      <c r="E69" s="26">
        <f t="shared" ref="E69:I69" si="9">SUM(E50:E68)</f>
        <v>2660629.6500000004</v>
      </c>
      <c r="F69" s="26">
        <f t="shared" si="9"/>
        <v>2660650.9399999995</v>
      </c>
      <c r="G69" s="26">
        <f>SUM(G50:G68)</f>
        <v>-21.290000000008149</v>
      </c>
      <c r="H69" s="26">
        <f t="shared" si="9"/>
        <v>2799950.8566999999</v>
      </c>
      <c r="I69" s="94">
        <f t="shared" si="9"/>
        <v>2799929.5666999999</v>
      </c>
      <c r="L69" s="2"/>
    </row>
    <row r="70" spans="2:12" ht="20.399999999999999" x14ac:dyDescent="0.75">
      <c r="C70" s="66" t="s">
        <v>140</v>
      </c>
      <c r="D70" s="67"/>
      <c r="E70" s="68"/>
      <c r="F70" s="68"/>
      <c r="G70" s="69"/>
    </row>
    <row r="71" spans="2:12" x14ac:dyDescent="0.55000000000000004">
      <c r="C71" s="88" t="s">
        <v>94</v>
      </c>
      <c r="G71" s="2"/>
    </row>
    <row r="72" spans="2:12" ht="15.6" x14ac:dyDescent="0.6">
      <c r="B72" s="42" t="s">
        <v>103</v>
      </c>
      <c r="C72" s="1"/>
      <c r="D72" s="92"/>
      <c r="E72" s="34"/>
      <c r="F72" s="34"/>
      <c r="G72" s="1"/>
      <c r="H72" s="34"/>
      <c r="I72" s="1"/>
      <c r="J72" s="1"/>
    </row>
    <row r="73" spans="2:12" x14ac:dyDescent="0.55000000000000004">
      <c r="B73" s="1" t="s">
        <v>111</v>
      </c>
      <c r="C73" s="1"/>
      <c r="D73" s="96"/>
      <c r="E73" s="97"/>
      <c r="F73" s="97"/>
      <c r="G73" s="3"/>
      <c r="H73" s="97"/>
      <c r="I73" s="3"/>
    </row>
    <row r="74" spans="2:12" x14ac:dyDescent="0.55000000000000004">
      <c r="G74" s="2"/>
    </row>
    <row r="75" spans="2:12" s="8" customFormat="1" ht="15.6" x14ac:dyDescent="0.6">
      <c r="B75" s="42" t="s">
        <v>115</v>
      </c>
      <c r="C75" s="42"/>
      <c r="D75" s="39"/>
      <c r="E75" s="40"/>
      <c r="F75" s="40"/>
      <c r="G75" s="42"/>
      <c r="H75" s="40"/>
      <c r="I75" s="42"/>
      <c r="J75"/>
      <c r="K75"/>
      <c r="L75"/>
    </row>
    <row r="76" spans="2:12" s="8" customFormat="1" x14ac:dyDescent="0.55000000000000004">
      <c r="B76"/>
      <c r="C76"/>
      <c r="D76" s="16"/>
      <c r="G76" s="2"/>
      <c r="I76" s="2"/>
      <c r="J76"/>
      <c r="K76"/>
      <c r="L76"/>
    </row>
    <row r="77" spans="2:12" s="8" customFormat="1" x14ac:dyDescent="0.55000000000000004">
      <c r="B77"/>
      <c r="C77"/>
      <c r="D77" s="16"/>
      <c r="G77" s="2"/>
      <c r="I77" s="2"/>
      <c r="J77"/>
      <c r="K77"/>
      <c r="L77"/>
    </row>
    <row r="78" spans="2:12" s="8" customFormat="1" x14ac:dyDescent="0.55000000000000004">
      <c r="B78"/>
      <c r="C78"/>
      <c r="D78" s="16"/>
      <c r="G78" s="2"/>
      <c r="I78" s="2"/>
      <c r="J78"/>
      <c r="K78"/>
      <c r="L78"/>
    </row>
    <row r="79" spans="2:12" s="8" customFormat="1" x14ac:dyDescent="0.55000000000000004">
      <c r="B79"/>
      <c r="C79"/>
      <c r="D79" s="18"/>
      <c r="G79" s="2"/>
      <c r="I79" s="2"/>
      <c r="J79"/>
      <c r="K79"/>
      <c r="L79"/>
    </row>
    <row r="80" spans="2:12" s="8" customFormat="1" x14ac:dyDescent="0.55000000000000004">
      <c r="B80"/>
      <c r="C80"/>
      <c r="D80" s="16"/>
      <c r="G80" s="2"/>
      <c r="I80" s="2"/>
      <c r="J80"/>
      <c r="K80"/>
      <c r="L80"/>
    </row>
    <row r="81" spans="2:12" s="8" customFormat="1" x14ac:dyDescent="0.55000000000000004">
      <c r="B81"/>
      <c r="C81"/>
      <c r="D81" s="16"/>
      <c r="G81" s="2"/>
      <c r="I81" s="2"/>
      <c r="J81"/>
      <c r="K81"/>
      <c r="L81"/>
    </row>
  </sheetData>
  <printOptions horizontalCentered="1"/>
  <pageMargins left="0.9055118110236221" right="0.51181102362204722" top="0.35433070866141736" bottom="0.74803149606299213" header="0.31496062992125984" footer="0.31496062992125984"/>
  <pageSetup paperSize="9" scale="78" orientation="landscape" r:id="rId1"/>
  <rowBreaks count="1" manualBreakCount="1">
    <brk id="48" min="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K73"/>
  <sheetViews>
    <sheetView tabSelected="1" workbookViewId="0">
      <selection activeCell="I7" sqref="I7"/>
    </sheetView>
  </sheetViews>
  <sheetFormatPr baseColWidth="10" defaultRowHeight="14.4" x14ac:dyDescent="0.55000000000000004"/>
  <cols>
    <col min="1" max="1" width="10.83984375" customWidth="1"/>
    <col min="2" max="2" width="17.26171875" customWidth="1"/>
    <col min="3" max="3" width="7.15625" customWidth="1"/>
    <col min="4" max="4" width="16.26171875" customWidth="1"/>
    <col min="5" max="5" width="13.15625" customWidth="1"/>
    <col min="6" max="6" width="17.26171875" bestFit="1" customWidth="1"/>
    <col min="7" max="7" width="16.15625" customWidth="1"/>
    <col min="8" max="8" width="16.68359375" customWidth="1"/>
    <col min="9" max="9" width="12.26171875" customWidth="1"/>
    <col min="10" max="10" width="11.41796875" hidden="1" customWidth="1"/>
    <col min="11" max="11" width="0.41796875" hidden="1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142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35">
        <v>140761.96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35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SUM(D9:D10)</f>
        <v>140761.96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:H67" si="8">SUM(C48:C66)</f>
        <v>99.999999999999986</v>
      </c>
      <c r="D67" s="26">
        <f t="shared" si="8"/>
        <v>2660329.6500000004</v>
      </c>
      <c r="E67" s="26">
        <f t="shared" si="8"/>
        <v>2660350.9399999995</v>
      </c>
      <c r="F67" s="26">
        <f>SUM(F48:F66)</f>
        <v>-21.290000000008149</v>
      </c>
      <c r="G67" s="26">
        <f t="shared" si="8"/>
        <v>2740139.5395000004</v>
      </c>
      <c r="H67" s="94">
        <f t="shared" si="8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73"/>
  <sheetViews>
    <sheetView workbookViewId="0">
      <selection activeCell="B12" sqref="B12"/>
    </sheetView>
  </sheetViews>
  <sheetFormatPr baseColWidth="10" defaultRowHeight="14.4" x14ac:dyDescent="0.55000000000000004"/>
  <cols>
    <col min="1" max="1" width="0.83984375" customWidth="1"/>
    <col min="2" max="2" width="17.578125" customWidth="1"/>
    <col min="3" max="3" width="18.26171875" style="16" customWidth="1"/>
    <col min="4" max="4" width="11.578125" style="8" customWidth="1"/>
    <col min="5" max="5" width="16.68359375" style="8" customWidth="1"/>
    <col min="6" max="6" width="13.15625" style="8" customWidth="1"/>
    <col min="7" max="7" width="11.83984375" style="8" customWidth="1"/>
    <col min="8" max="8" width="14.68359375" style="2" customWidth="1"/>
    <col min="9" max="9" width="18" customWidth="1"/>
  </cols>
  <sheetData>
    <row r="1" spans="1:11" ht="18.3" x14ac:dyDescent="0.7">
      <c r="C1" s="72" t="s">
        <v>137</v>
      </c>
      <c r="D1" s="71"/>
      <c r="H1" s="8"/>
      <c r="I1" s="15"/>
      <c r="J1" s="4"/>
    </row>
    <row r="2" spans="1:11" ht="15.6" x14ac:dyDescent="0.6">
      <c r="C2" s="42" t="s">
        <v>138</v>
      </c>
      <c r="D2" s="16"/>
      <c r="H2" s="8"/>
      <c r="I2" s="23"/>
      <c r="J2" s="4"/>
    </row>
    <row r="3" spans="1:11" x14ac:dyDescent="0.55000000000000004">
      <c r="A3" s="1"/>
      <c r="C3" s="1"/>
      <c r="D3" s="16"/>
      <c r="H3" s="8"/>
      <c r="I3" s="23"/>
      <c r="J3" s="4"/>
    </row>
    <row r="4" spans="1:11" x14ac:dyDescent="0.55000000000000004">
      <c r="B4" s="1" t="s">
        <v>0</v>
      </c>
      <c r="C4"/>
      <c r="D4" s="16"/>
      <c r="G4" s="34" t="s">
        <v>3</v>
      </c>
      <c r="H4" s="35"/>
      <c r="I4" s="15"/>
    </row>
    <row r="5" spans="1:11" x14ac:dyDescent="0.55000000000000004">
      <c r="B5" t="s">
        <v>1</v>
      </c>
      <c r="C5"/>
      <c r="D5" s="16"/>
      <c r="G5" s="35" t="s">
        <v>4</v>
      </c>
      <c r="H5" s="35"/>
      <c r="I5" s="2"/>
    </row>
    <row r="6" spans="1:11" x14ac:dyDescent="0.55000000000000004">
      <c r="B6" t="s">
        <v>2</v>
      </c>
      <c r="C6"/>
      <c r="D6" s="16"/>
      <c r="G6" s="35" t="s">
        <v>5</v>
      </c>
      <c r="H6" s="35"/>
      <c r="I6" s="2"/>
    </row>
    <row r="7" spans="1:11" x14ac:dyDescent="0.55000000000000004">
      <c r="B7" s="91">
        <v>1168722530</v>
      </c>
      <c r="C7"/>
      <c r="D7" s="16"/>
      <c r="H7" s="8"/>
      <c r="I7" s="2"/>
      <c r="K7" t="s">
        <v>63</v>
      </c>
    </row>
    <row r="8" spans="1:11" ht="15.6" x14ac:dyDescent="0.6">
      <c r="A8" s="1"/>
      <c r="C8"/>
      <c r="D8" s="39" t="s">
        <v>112</v>
      </c>
      <c r="E8" s="40"/>
      <c r="F8" s="41"/>
      <c r="H8" s="8"/>
      <c r="I8" s="2"/>
    </row>
    <row r="9" spans="1:11" x14ac:dyDescent="0.55000000000000004">
      <c r="B9" s="1" t="s">
        <v>7</v>
      </c>
      <c r="C9" s="1"/>
      <c r="D9" s="71">
        <v>89875.839999999997</v>
      </c>
      <c r="H9" s="8"/>
      <c r="I9" s="2"/>
    </row>
    <row r="10" spans="1:11" x14ac:dyDescent="0.55000000000000004">
      <c r="B10" t="s">
        <v>8</v>
      </c>
      <c r="C10"/>
      <c r="D10" s="71"/>
      <c r="H10" s="8"/>
      <c r="I10" s="2"/>
    </row>
    <row r="11" spans="1:11" x14ac:dyDescent="0.55000000000000004">
      <c r="B11" t="s">
        <v>11</v>
      </c>
      <c r="C11"/>
      <c r="D11" s="71"/>
      <c r="H11" s="8"/>
      <c r="I11" s="2"/>
    </row>
    <row r="12" spans="1:11" ht="15.9" thickBot="1" x14ac:dyDescent="0.65">
      <c r="B12" s="1" t="s">
        <v>144</v>
      </c>
      <c r="C12"/>
      <c r="D12" s="16"/>
      <c r="H12" s="40">
        <f>SUM(D9:D11)</f>
        <v>89875.839999999997</v>
      </c>
      <c r="I12" s="2"/>
      <c r="K12" s="63"/>
    </row>
    <row r="13" spans="1:11" ht="14.7" thickBot="1" x14ac:dyDescent="0.6">
      <c r="B13" s="27"/>
      <c r="C13" s="28"/>
      <c r="D13" s="29" t="s">
        <v>12</v>
      </c>
      <c r="E13" s="30"/>
      <c r="F13" s="85" t="s">
        <v>15</v>
      </c>
      <c r="G13" s="85" t="s">
        <v>70</v>
      </c>
      <c r="H13" s="86" t="s">
        <v>16</v>
      </c>
      <c r="I13" s="82" t="s">
        <v>85</v>
      </c>
    </row>
    <row r="14" spans="1:11" x14ac:dyDescent="0.55000000000000004">
      <c r="B14" s="3" t="s">
        <v>14</v>
      </c>
      <c r="C14"/>
      <c r="D14" s="16"/>
      <c r="F14" s="7"/>
      <c r="G14" s="7"/>
      <c r="H14" s="7"/>
      <c r="I14" s="83"/>
    </row>
    <row r="15" spans="1:11" ht="14.7" thickBot="1" x14ac:dyDescent="0.6">
      <c r="B15" t="s">
        <v>134</v>
      </c>
      <c r="C15" s="2"/>
      <c r="D15" s="2"/>
      <c r="F15" s="70">
        <v>754089</v>
      </c>
      <c r="G15" s="7"/>
      <c r="H15" s="7">
        <f>F15</f>
        <v>754089</v>
      </c>
      <c r="I15" s="84"/>
    </row>
    <row r="16" spans="1:11" ht="14.7" thickBot="1" x14ac:dyDescent="0.6">
      <c r="C16"/>
      <c r="D16" s="16"/>
      <c r="E16" s="21" t="s">
        <v>20</v>
      </c>
      <c r="F16" s="9">
        <f>SUM(F15:F15)</f>
        <v>754089</v>
      </c>
      <c r="G16" s="9">
        <f>SUM(G15:G15)</f>
        <v>0</v>
      </c>
      <c r="H16" s="9">
        <f>SUM(H15:H15)</f>
        <v>754089</v>
      </c>
      <c r="I16" s="83"/>
    </row>
    <row r="17" spans="1:10" x14ac:dyDescent="0.55000000000000004">
      <c r="B17" s="3" t="s">
        <v>18</v>
      </c>
      <c r="C17"/>
      <c r="D17" s="16"/>
      <c r="F17" s="6"/>
      <c r="G17" s="6"/>
      <c r="H17" s="22"/>
      <c r="I17" s="5"/>
    </row>
    <row r="18" spans="1:10" x14ac:dyDescent="0.55000000000000004">
      <c r="B18" t="s">
        <v>17</v>
      </c>
      <c r="C18"/>
      <c r="D18" s="16"/>
      <c r="F18" s="70">
        <v>91219.13</v>
      </c>
      <c r="G18" s="7"/>
      <c r="H18" s="73">
        <f>F18</f>
        <v>91219.13</v>
      </c>
      <c r="I18" s="5"/>
    </row>
    <row r="19" spans="1:10" ht="14.7" thickBot="1" x14ac:dyDescent="0.6">
      <c r="B19" t="s">
        <v>109</v>
      </c>
      <c r="C19"/>
      <c r="D19" s="16"/>
      <c r="F19" s="99">
        <v>599664.24</v>
      </c>
      <c r="G19" s="7"/>
      <c r="H19" s="7">
        <f t="shared" ref="H19" si="0">F19</f>
        <v>599664.24</v>
      </c>
      <c r="I19" s="5"/>
    </row>
    <row r="20" spans="1:10" ht="14.7" thickBot="1" x14ac:dyDescent="0.6">
      <c r="C20"/>
      <c r="D20" s="16"/>
      <c r="E20" s="21" t="s">
        <v>21</v>
      </c>
      <c r="F20" s="100">
        <f>SUM(F18:F19)</f>
        <v>690883.37</v>
      </c>
      <c r="G20" s="100">
        <f>SUM(G18:G19)</f>
        <v>0</v>
      </c>
      <c r="H20" s="100">
        <f>SUM(H18:H19)</f>
        <v>690883.37</v>
      </c>
      <c r="I20" s="5"/>
    </row>
    <row r="21" spans="1:10" x14ac:dyDescent="0.55000000000000004">
      <c r="B21" s="3" t="s">
        <v>19</v>
      </c>
      <c r="C21" s="2"/>
      <c r="D21" s="16"/>
      <c r="F21" s="6"/>
      <c r="G21" s="6"/>
      <c r="H21" s="22">
        <f t="shared" ref="H21:H24" si="1">F21+G21</f>
        <v>0</v>
      </c>
      <c r="I21" s="5"/>
    </row>
    <row r="22" spans="1:10" x14ac:dyDescent="0.55000000000000004">
      <c r="A22" s="2"/>
      <c r="B22" t="s">
        <v>22</v>
      </c>
      <c r="C22"/>
      <c r="D22" s="16"/>
      <c r="F22" s="70">
        <v>350000</v>
      </c>
      <c r="G22" s="7"/>
      <c r="H22" s="73">
        <f t="shared" si="1"/>
        <v>350000</v>
      </c>
      <c r="I22" s="5"/>
    </row>
    <row r="23" spans="1:10" x14ac:dyDescent="0.55000000000000004">
      <c r="A23" s="2"/>
      <c r="B23" t="s">
        <v>105</v>
      </c>
      <c r="C23"/>
      <c r="D23" s="16"/>
      <c r="F23" s="70">
        <v>821</v>
      </c>
      <c r="G23" s="7"/>
      <c r="H23" s="73">
        <f t="shared" si="1"/>
        <v>821</v>
      </c>
      <c r="I23" s="5"/>
    </row>
    <row r="24" spans="1:10" ht="14.7" thickBot="1" x14ac:dyDescent="0.6">
      <c r="A24" s="2"/>
      <c r="B24" t="s">
        <v>82</v>
      </c>
      <c r="C24"/>
      <c r="D24" s="16"/>
      <c r="F24" s="70">
        <v>0</v>
      </c>
      <c r="G24" s="7"/>
      <c r="H24" s="73">
        <f t="shared" si="1"/>
        <v>0</v>
      </c>
      <c r="I24" s="5"/>
    </row>
    <row r="25" spans="1:10" ht="14.7" thickBot="1" x14ac:dyDescent="0.6">
      <c r="A25" s="2"/>
      <c r="C25"/>
      <c r="D25" s="16"/>
      <c r="E25" s="21" t="s">
        <v>24</v>
      </c>
      <c r="F25" s="9">
        <f>SUM(F22:F24)</f>
        <v>350821</v>
      </c>
      <c r="G25" s="9"/>
      <c r="H25" s="9">
        <f>SUM(H22:H24)</f>
        <v>350821</v>
      </c>
      <c r="I25" s="5"/>
    </row>
    <row r="26" spans="1:10" x14ac:dyDescent="0.55000000000000004">
      <c r="A26" s="2"/>
      <c r="B26" s="3" t="s">
        <v>25</v>
      </c>
      <c r="C26"/>
      <c r="D26" s="16"/>
      <c r="F26" s="6"/>
      <c r="G26" s="6"/>
      <c r="H26" s="22">
        <f t="shared" ref="H26:H29" si="2">F26+G26</f>
        <v>0</v>
      </c>
      <c r="I26" s="5"/>
    </row>
    <row r="27" spans="1:10" x14ac:dyDescent="0.55000000000000004">
      <c r="A27" s="2"/>
      <c r="B27" t="s">
        <v>84</v>
      </c>
      <c r="C27"/>
      <c r="D27" s="16"/>
      <c r="F27" s="70">
        <v>66000</v>
      </c>
      <c r="G27" s="7"/>
      <c r="H27" s="73">
        <f t="shared" si="2"/>
        <v>66000</v>
      </c>
      <c r="I27" s="5"/>
    </row>
    <row r="28" spans="1:10" x14ac:dyDescent="0.55000000000000004">
      <c r="A28" s="2"/>
      <c r="B28" t="s">
        <v>139</v>
      </c>
      <c r="C28"/>
      <c r="D28" s="16"/>
      <c r="F28" s="70">
        <v>215000</v>
      </c>
      <c r="G28" s="7"/>
      <c r="H28" s="73">
        <f t="shared" si="2"/>
        <v>215000</v>
      </c>
      <c r="I28" s="5"/>
    </row>
    <row r="29" spans="1:10" ht="14.7" thickBot="1" x14ac:dyDescent="0.6">
      <c r="A29" s="2"/>
      <c r="B29" t="s">
        <v>90</v>
      </c>
      <c r="C29" s="101"/>
      <c r="D29" s="16"/>
      <c r="F29" s="99">
        <v>335500.14</v>
      </c>
      <c r="G29" s="7"/>
      <c r="H29" s="73">
        <f t="shared" si="2"/>
        <v>335500.14</v>
      </c>
      <c r="I29" s="5"/>
      <c r="J29" s="80"/>
    </row>
    <row r="30" spans="1:10" ht="14.7" thickBot="1" x14ac:dyDescent="0.6">
      <c r="A30" s="2"/>
      <c r="C30"/>
      <c r="D30" s="16"/>
      <c r="E30" s="21" t="s">
        <v>26</v>
      </c>
      <c r="F30" s="103">
        <f>SUM(F27:F29)</f>
        <v>616500.14</v>
      </c>
      <c r="G30" s="103">
        <f>SUM(G27:G29)</f>
        <v>0</v>
      </c>
      <c r="H30" s="103">
        <f>SUM(H27:H29)</f>
        <v>616500.14</v>
      </c>
      <c r="I30" s="84"/>
    </row>
    <row r="31" spans="1:10" x14ac:dyDescent="0.55000000000000004">
      <c r="A31" s="2"/>
      <c r="B31" s="3" t="s">
        <v>27</v>
      </c>
      <c r="C31"/>
      <c r="D31" s="16"/>
      <c r="F31" s="7"/>
      <c r="G31" s="7"/>
      <c r="H31" s="7">
        <f t="shared" ref="H31" si="3">F31+G31</f>
        <v>0</v>
      </c>
      <c r="I31" s="84"/>
    </row>
    <row r="32" spans="1:10" x14ac:dyDescent="0.55000000000000004">
      <c r="A32" s="2"/>
      <c r="B32" s="63" t="s">
        <v>129</v>
      </c>
      <c r="C32"/>
      <c r="D32" s="16"/>
      <c r="F32" s="7">
        <v>36133.910000000003</v>
      </c>
      <c r="G32" s="7"/>
      <c r="H32" s="73">
        <f>F32+G32</f>
        <v>36133.910000000003</v>
      </c>
      <c r="I32" s="84"/>
    </row>
    <row r="33" spans="1:10" ht="14.7" thickBot="1" x14ac:dyDescent="0.6">
      <c r="A33" s="2"/>
      <c r="B33" t="s">
        <v>104</v>
      </c>
      <c r="C33"/>
      <c r="D33" s="16"/>
      <c r="F33" s="70">
        <v>147767.6</v>
      </c>
      <c r="G33" s="7"/>
      <c r="H33" s="73">
        <f t="shared" ref="H33" si="4">F33+G33</f>
        <v>147767.6</v>
      </c>
      <c r="I33" s="84"/>
    </row>
    <row r="34" spans="1:10" ht="14.7" thickBot="1" x14ac:dyDescent="0.6">
      <c r="A34" s="2"/>
      <c r="B34" s="3"/>
      <c r="C34"/>
      <c r="D34" s="16"/>
      <c r="E34" s="21" t="s">
        <v>28</v>
      </c>
      <c r="F34" s="19">
        <f>SUM(F32:F33)</f>
        <v>183901.51</v>
      </c>
      <c r="G34" s="19">
        <f>SUM(G32:G33)</f>
        <v>0</v>
      </c>
      <c r="H34" s="19">
        <f>SUM(H32:H33)</f>
        <v>183901.51</v>
      </c>
      <c r="I34" s="84"/>
    </row>
    <row r="35" spans="1:10" ht="14.7" thickBot="1" x14ac:dyDescent="0.6">
      <c r="B35" s="54" t="s">
        <v>34</v>
      </c>
      <c r="C35" s="55"/>
      <c r="D35" s="37"/>
      <c r="E35" s="56"/>
      <c r="F35" s="38">
        <f>SUM(F16+F20+F25+F34+F30)</f>
        <v>2596195.02</v>
      </c>
      <c r="G35" s="38">
        <f>G34</f>
        <v>0</v>
      </c>
      <c r="H35" s="56">
        <f>SUM(H16+H20+H25+H30+H34)</f>
        <v>2596195.0200000005</v>
      </c>
      <c r="I35" s="5"/>
    </row>
    <row r="36" spans="1:10" ht="14.7" thickBot="1" x14ac:dyDescent="0.6">
      <c r="B36" s="36"/>
      <c r="C36" s="53" t="s">
        <v>29</v>
      </c>
      <c r="D36" s="37"/>
      <c r="E36" s="38"/>
      <c r="F36" s="61" t="s">
        <v>58</v>
      </c>
      <c r="G36" s="61" t="s">
        <v>121</v>
      </c>
      <c r="H36" s="74" t="s">
        <v>16</v>
      </c>
      <c r="I36" s="5"/>
    </row>
    <row r="37" spans="1:10" x14ac:dyDescent="0.55000000000000004">
      <c r="B37" s="3" t="s">
        <v>30</v>
      </c>
      <c r="C37"/>
      <c r="D37" s="16"/>
      <c r="F37" s="6">
        <v>397522.6</v>
      </c>
      <c r="G37" s="6">
        <v>3954413</v>
      </c>
      <c r="H37" s="22">
        <f>+F37</f>
        <v>397522.6</v>
      </c>
      <c r="I37" s="5"/>
    </row>
    <row r="38" spans="1:10" x14ac:dyDescent="0.55000000000000004">
      <c r="B38" s="2" t="s">
        <v>102</v>
      </c>
      <c r="C38"/>
      <c r="D38" s="16"/>
      <c r="F38" s="7">
        <f>+F67</f>
        <v>2660350.9399999995</v>
      </c>
      <c r="G38" s="7"/>
      <c r="H38" s="73">
        <f>F38+G38</f>
        <v>2660350.9399999995</v>
      </c>
      <c r="I38" s="5"/>
    </row>
    <row r="39" spans="1:10" x14ac:dyDescent="0.55000000000000004">
      <c r="B39" s="2" t="s">
        <v>113</v>
      </c>
      <c r="C39"/>
      <c r="D39" s="16"/>
      <c r="F39" s="7">
        <f>-H35</f>
        <v>-2596195.0200000005</v>
      </c>
      <c r="G39" s="7">
        <v>0</v>
      </c>
      <c r="H39" s="73">
        <v>0</v>
      </c>
      <c r="I39" s="5"/>
      <c r="J39" s="80"/>
    </row>
    <row r="40" spans="1:10" x14ac:dyDescent="0.55000000000000004">
      <c r="B40" s="2" t="s">
        <v>95</v>
      </c>
      <c r="C40"/>
      <c r="D40" s="16"/>
      <c r="F40" s="7">
        <v>0</v>
      </c>
      <c r="G40" s="7">
        <v>0</v>
      </c>
      <c r="H40" s="73">
        <f>F40+G40</f>
        <v>0</v>
      </c>
      <c r="I40" s="81" t="s">
        <v>110</v>
      </c>
      <c r="J40" s="80"/>
    </row>
    <row r="41" spans="1:10" x14ac:dyDescent="0.55000000000000004">
      <c r="B41" s="2" t="s">
        <v>114</v>
      </c>
      <c r="C41"/>
      <c r="D41" s="16"/>
      <c r="F41" s="7">
        <v>0</v>
      </c>
      <c r="G41" s="7">
        <v>0</v>
      </c>
      <c r="H41" s="73">
        <f>+F41</f>
        <v>0</v>
      </c>
      <c r="I41" s="81"/>
    </row>
    <row r="42" spans="1:10" ht="14.7" thickBot="1" x14ac:dyDescent="0.6">
      <c r="B42" s="5" t="s">
        <v>59</v>
      </c>
      <c r="C42" s="57"/>
      <c r="D42" s="58">
        <v>46054</v>
      </c>
      <c r="E42" s="7"/>
      <c r="F42" s="7">
        <v>0</v>
      </c>
      <c r="G42" s="7">
        <v>662048</v>
      </c>
      <c r="H42" s="73">
        <v>0</v>
      </c>
      <c r="I42" s="5"/>
    </row>
    <row r="43" spans="1:10" ht="14.7" thickBot="1" x14ac:dyDescent="0.6">
      <c r="B43" s="59"/>
      <c r="C43" s="55"/>
      <c r="D43" s="60" t="s">
        <v>60</v>
      </c>
      <c r="E43" s="38"/>
      <c r="F43" s="62">
        <f>SUM(F37:F42)</f>
        <v>461678.51999999909</v>
      </c>
      <c r="G43" s="62">
        <f>SUM(G37:G42)</f>
        <v>4616461</v>
      </c>
      <c r="H43" s="75">
        <f>SUM(H37:H42)</f>
        <v>3057873.5399999996</v>
      </c>
      <c r="I43" s="5"/>
    </row>
    <row r="44" spans="1:10" ht="14.7" thickBot="1" x14ac:dyDescent="0.6">
      <c r="B44" t="s">
        <v>33</v>
      </c>
      <c r="C44"/>
      <c r="D44" s="16"/>
      <c r="F44" s="52"/>
      <c r="G44" s="62">
        <v>0</v>
      </c>
      <c r="H44" s="76">
        <f>-H35</f>
        <v>-2596195.0200000005</v>
      </c>
      <c r="I44" s="5"/>
    </row>
    <row r="45" spans="1:10" x14ac:dyDescent="0.55000000000000004">
      <c r="B45" s="47"/>
      <c r="C45" s="47"/>
      <c r="D45" s="48"/>
      <c r="E45" s="49"/>
      <c r="F45" s="46"/>
      <c r="G45" s="46"/>
      <c r="H45" s="77">
        <f>SUM(H43+H44)</f>
        <v>461678.51999999909</v>
      </c>
      <c r="I45" s="5"/>
    </row>
    <row r="46" spans="1:10" ht="14.7" thickBot="1" x14ac:dyDescent="0.6">
      <c r="B46" s="50" t="s">
        <v>141</v>
      </c>
      <c r="C46" s="43"/>
      <c r="D46" s="44"/>
      <c r="E46" s="45"/>
      <c r="F46" s="45"/>
      <c r="G46" s="45"/>
      <c r="H46" s="78">
        <f>H45</f>
        <v>461678.51999999909</v>
      </c>
      <c r="I46" s="5"/>
    </row>
    <row r="47" spans="1:10" ht="14.7" thickBot="1" x14ac:dyDescent="0.6">
      <c r="B47" s="13" t="s">
        <v>43</v>
      </c>
      <c r="C47" s="14" t="s">
        <v>62</v>
      </c>
      <c r="D47" s="17" t="s">
        <v>56</v>
      </c>
      <c r="E47" s="51" t="s">
        <v>135</v>
      </c>
      <c r="F47" s="20" t="s">
        <v>44</v>
      </c>
      <c r="G47" s="14" t="s">
        <v>45</v>
      </c>
      <c r="H47" s="51" t="s">
        <v>136</v>
      </c>
      <c r="I47" s="79" t="s">
        <v>57</v>
      </c>
    </row>
    <row r="48" spans="1:10" ht="14.7" thickBot="1" x14ac:dyDescent="0.6">
      <c r="B48" s="11" t="s">
        <v>86</v>
      </c>
      <c r="C48" s="12" t="s">
        <v>93</v>
      </c>
      <c r="D48" s="31">
        <v>5.93</v>
      </c>
      <c r="E48" s="90">
        <v>165211.85</v>
      </c>
      <c r="F48" s="90">
        <v>165211.85</v>
      </c>
      <c r="G48" s="89">
        <f>E48-F48</f>
        <v>0</v>
      </c>
      <c r="H48" s="90">
        <f>E48*1.03</f>
        <v>170168.20550000001</v>
      </c>
      <c r="I48" s="93">
        <f>G48+H48</f>
        <v>170168.20550000001</v>
      </c>
    </row>
    <row r="49" spans="2:9" ht="14.7" thickBot="1" x14ac:dyDescent="0.6">
      <c r="B49" s="10" t="s">
        <v>87</v>
      </c>
      <c r="C49" s="5" t="s">
        <v>36</v>
      </c>
      <c r="D49" s="32">
        <v>5.9</v>
      </c>
      <c r="E49" s="90">
        <v>154625.51999999999</v>
      </c>
      <c r="F49" s="90">
        <v>154625.51999999999</v>
      </c>
      <c r="G49" s="89">
        <f t="shared" ref="G49:G66" si="5">E49-F49</f>
        <v>0</v>
      </c>
      <c r="H49" s="90">
        <f>E49*1.03</f>
        <v>159264.2856</v>
      </c>
      <c r="I49" s="93">
        <f>G49+H49</f>
        <v>159264.2856</v>
      </c>
    </row>
    <row r="50" spans="2:9" ht="14.7" thickBot="1" x14ac:dyDescent="0.6">
      <c r="B50" s="10" t="s">
        <v>52</v>
      </c>
      <c r="C50" s="5" t="s">
        <v>130</v>
      </c>
      <c r="D50" s="32">
        <v>3.32</v>
      </c>
      <c r="E50" s="90">
        <v>92579.72</v>
      </c>
      <c r="F50" s="90">
        <v>92579.72</v>
      </c>
      <c r="G50" s="89">
        <f t="shared" si="5"/>
        <v>0</v>
      </c>
      <c r="H50" s="90">
        <f>E50*1.03</f>
        <v>95357.111600000004</v>
      </c>
      <c r="I50" s="93">
        <f t="shared" ref="I50:I66" si="6">G50+H50</f>
        <v>95357.111600000004</v>
      </c>
    </row>
    <row r="51" spans="2:9" ht="14.7" thickBot="1" x14ac:dyDescent="0.6">
      <c r="B51" s="10" t="s">
        <v>38</v>
      </c>
      <c r="C51" s="5" t="s">
        <v>120</v>
      </c>
      <c r="D51" s="32">
        <v>5.17</v>
      </c>
      <c r="E51" s="90">
        <v>163984.24</v>
      </c>
      <c r="F51" s="90">
        <v>164000</v>
      </c>
      <c r="G51" s="89">
        <f t="shared" si="5"/>
        <v>-15.760000000009313</v>
      </c>
      <c r="H51" s="90">
        <f>E51*1.03</f>
        <v>168903.7672</v>
      </c>
      <c r="I51" s="93">
        <f t="shared" si="6"/>
        <v>168888.00719999999</v>
      </c>
    </row>
    <row r="52" spans="2:9" ht="14.7" thickBot="1" x14ac:dyDescent="0.6">
      <c r="B52" s="10" t="s">
        <v>46</v>
      </c>
      <c r="C52" s="5" t="s">
        <v>116</v>
      </c>
      <c r="D52" s="32">
        <v>3.91</v>
      </c>
      <c r="E52" s="90">
        <v>87258</v>
      </c>
      <c r="F52" s="90">
        <v>87258</v>
      </c>
      <c r="G52" s="89">
        <f t="shared" si="5"/>
        <v>0</v>
      </c>
      <c r="H52" s="90">
        <f>E52*1.03</f>
        <v>89875.74</v>
      </c>
      <c r="I52" s="93">
        <f t="shared" si="6"/>
        <v>89875.74</v>
      </c>
    </row>
    <row r="53" spans="2:9" ht="14.7" thickBot="1" x14ac:dyDescent="0.6">
      <c r="B53" s="10" t="s">
        <v>68</v>
      </c>
      <c r="C53" s="64" t="s">
        <v>143</v>
      </c>
      <c r="D53" s="32">
        <v>6.09</v>
      </c>
      <c r="E53" s="90">
        <v>136662.1</v>
      </c>
      <c r="F53" s="90">
        <v>136662.1</v>
      </c>
      <c r="G53" s="89">
        <f t="shared" si="5"/>
        <v>0</v>
      </c>
      <c r="H53" s="90">
        <f t="shared" ref="H53:H66" si="7">E53*1.03</f>
        <v>140761.96300000002</v>
      </c>
      <c r="I53" s="93">
        <f t="shared" si="6"/>
        <v>140761.96300000002</v>
      </c>
    </row>
    <row r="54" spans="2:9" ht="14.7" thickBot="1" x14ac:dyDescent="0.6">
      <c r="B54" s="10" t="s">
        <v>91</v>
      </c>
      <c r="C54" s="5" t="s">
        <v>47</v>
      </c>
      <c r="D54" s="32">
        <v>7.22</v>
      </c>
      <c r="E54" s="90">
        <v>176088.87</v>
      </c>
      <c r="F54" s="90">
        <v>176088.87</v>
      </c>
      <c r="G54" s="89">
        <f t="shared" si="5"/>
        <v>0</v>
      </c>
      <c r="H54" s="90">
        <f t="shared" si="7"/>
        <v>181371.5361</v>
      </c>
      <c r="I54" s="93">
        <f t="shared" si="6"/>
        <v>181371.5361</v>
      </c>
    </row>
    <row r="55" spans="2:9" ht="14.7" thickBot="1" x14ac:dyDescent="0.6">
      <c r="B55" s="10" t="s">
        <v>65</v>
      </c>
      <c r="C55" s="5" t="s">
        <v>117</v>
      </c>
      <c r="D55" s="32">
        <v>6.01</v>
      </c>
      <c r="E55" s="90">
        <v>178502.16</v>
      </c>
      <c r="F55" s="90">
        <v>178502.16</v>
      </c>
      <c r="G55" s="89">
        <f t="shared" si="5"/>
        <v>0</v>
      </c>
      <c r="H55" s="90">
        <f t="shared" si="7"/>
        <v>183857.2248</v>
      </c>
      <c r="I55" s="93">
        <f t="shared" si="6"/>
        <v>183857.2248</v>
      </c>
    </row>
    <row r="56" spans="2:9" ht="14.7" thickBot="1" x14ac:dyDescent="0.6">
      <c r="B56" s="10" t="s">
        <v>48</v>
      </c>
      <c r="C56" s="5" t="s">
        <v>47</v>
      </c>
      <c r="D56" s="32">
        <v>5.22</v>
      </c>
      <c r="E56" s="90">
        <v>148707.87</v>
      </c>
      <c r="F56" s="90">
        <v>148707.87</v>
      </c>
      <c r="G56" s="89">
        <f t="shared" si="5"/>
        <v>0</v>
      </c>
      <c r="H56" s="90">
        <f t="shared" si="7"/>
        <v>153169.1061</v>
      </c>
      <c r="I56" s="93">
        <f t="shared" si="6"/>
        <v>153169.1061</v>
      </c>
    </row>
    <row r="57" spans="2:9" ht="14.7" thickBot="1" x14ac:dyDescent="0.6">
      <c r="B57" s="10" t="s">
        <v>54</v>
      </c>
      <c r="C57" s="5" t="s">
        <v>50</v>
      </c>
      <c r="D57" s="32">
        <v>7.09</v>
      </c>
      <c r="E57" s="90">
        <v>114492.82</v>
      </c>
      <c r="F57" s="90">
        <v>114492.82</v>
      </c>
      <c r="G57" s="89">
        <f t="shared" si="5"/>
        <v>0</v>
      </c>
      <c r="H57" s="90">
        <f>E57*1.03</f>
        <v>117927.60460000001</v>
      </c>
      <c r="I57" s="93">
        <f t="shared" si="6"/>
        <v>117927.60460000001</v>
      </c>
    </row>
    <row r="58" spans="2:9" ht="14.7" thickBot="1" x14ac:dyDescent="0.6">
      <c r="B58" s="10" t="s">
        <v>39</v>
      </c>
      <c r="C58" s="5" t="s">
        <v>92</v>
      </c>
      <c r="D58" s="32">
        <v>2.63</v>
      </c>
      <c r="E58" s="90">
        <v>71337.56</v>
      </c>
      <c r="F58" s="90">
        <v>71337.56</v>
      </c>
      <c r="G58" s="89">
        <f t="shared" si="5"/>
        <v>0</v>
      </c>
      <c r="H58" s="90">
        <f t="shared" si="7"/>
        <v>73477.686799999996</v>
      </c>
      <c r="I58" s="93">
        <f t="shared" si="6"/>
        <v>73477.686799999996</v>
      </c>
    </row>
    <row r="59" spans="2:9" ht="14.7" thickBot="1" x14ac:dyDescent="0.6">
      <c r="B59" s="10" t="s">
        <v>55</v>
      </c>
      <c r="C59" s="5" t="s">
        <v>35</v>
      </c>
      <c r="D59" s="32">
        <v>5.98</v>
      </c>
      <c r="E59" s="90">
        <v>165148.13</v>
      </c>
      <c r="F59" s="90">
        <v>165149</v>
      </c>
      <c r="G59" s="89">
        <f t="shared" si="5"/>
        <v>-0.86999999999534339</v>
      </c>
      <c r="H59" s="90">
        <f t="shared" si="7"/>
        <v>170102.57390000002</v>
      </c>
      <c r="I59" s="93">
        <f t="shared" si="6"/>
        <v>170101.70390000002</v>
      </c>
    </row>
    <row r="60" spans="2:9" ht="14.7" thickBot="1" x14ac:dyDescent="0.6">
      <c r="B60" s="10" t="s">
        <v>64</v>
      </c>
      <c r="C60" s="5" t="s">
        <v>88</v>
      </c>
      <c r="D60" s="32">
        <v>5.74</v>
      </c>
      <c r="E60" s="90">
        <v>168711.31</v>
      </c>
      <c r="F60" s="90">
        <v>168711.31</v>
      </c>
      <c r="G60" s="89">
        <f t="shared" si="5"/>
        <v>0</v>
      </c>
      <c r="H60" s="90">
        <f t="shared" si="7"/>
        <v>173772.64929999999</v>
      </c>
      <c r="I60" s="93">
        <f t="shared" si="6"/>
        <v>173772.64929999999</v>
      </c>
    </row>
    <row r="61" spans="2:9" ht="14.7" thickBot="1" x14ac:dyDescent="0.6">
      <c r="B61" s="10" t="s">
        <v>71</v>
      </c>
      <c r="C61" s="5" t="s">
        <v>122</v>
      </c>
      <c r="D61" s="32">
        <v>6.39</v>
      </c>
      <c r="E61" s="90">
        <v>169935.62</v>
      </c>
      <c r="F61" s="90">
        <v>169935.62</v>
      </c>
      <c r="G61" s="89">
        <f t="shared" si="5"/>
        <v>0</v>
      </c>
      <c r="H61" s="90">
        <f t="shared" si="7"/>
        <v>175033.68859999999</v>
      </c>
      <c r="I61" s="93">
        <f t="shared" si="6"/>
        <v>175033.68859999999</v>
      </c>
    </row>
    <row r="62" spans="2:9" ht="14.7" thickBot="1" x14ac:dyDescent="0.6">
      <c r="B62" s="10" t="s">
        <v>40</v>
      </c>
      <c r="C62" s="5" t="s">
        <v>67</v>
      </c>
      <c r="D62" s="32">
        <v>5.21</v>
      </c>
      <c r="E62" s="90">
        <v>143095.62</v>
      </c>
      <c r="F62" s="90">
        <v>143100</v>
      </c>
      <c r="G62" s="89">
        <f t="shared" si="5"/>
        <v>-4.3800000000046566</v>
      </c>
      <c r="H62" s="90">
        <f t="shared" si="7"/>
        <v>147388.48860000001</v>
      </c>
      <c r="I62" s="93">
        <f t="shared" si="6"/>
        <v>147384.10860000001</v>
      </c>
    </row>
    <row r="63" spans="2:9" ht="14.7" thickBot="1" x14ac:dyDescent="0.6">
      <c r="B63" s="10" t="s">
        <v>89</v>
      </c>
      <c r="C63" s="95" t="s">
        <v>107</v>
      </c>
      <c r="D63" s="32">
        <v>5.22</v>
      </c>
      <c r="E63" s="90">
        <v>147713.78</v>
      </c>
      <c r="F63" s="90">
        <v>147713.78</v>
      </c>
      <c r="G63" s="89">
        <f t="shared" si="5"/>
        <v>0</v>
      </c>
      <c r="H63" s="90">
        <f t="shared" si="7"/>
        <v>152145.19339999999</v>
      </c>
      <c r="I63" s="93">
        <f t="shared" si="6"/>
        <v>152145.19339999999</v>
      </c>
    </row>
    <row r="64" spans="2:9" ht="14.7" thickBot="1" x14ac:dyDescent="0.6">
      <c r="B64" s="10" t="s">
        <v>41</v>
      </c>
      <c r="C64" s="95" t="s">
        <v>106</v>
      </c>
      <c r="D64" s="32">
        <v>2.61</v>
      </c>
      <c r="E64" s="90">
        <v>73501.72</v>
      </c>
      <c r="F64" s="90">
        <v>73502</v>
      </c>
      <c r="G64" s="89">
        <f t="shared" si="5"/>
        <v>-0.27999999999883585</v>
      </c>
      <c r="H64" s="90">
        <f t="shared" si="7"/>
        <v>75706.771600000007</v>
      </c>
      <c r="I64" s="93">
        <f t="shared" si="6"/>
        <v>75706.491600000008</v>
      </c>
    </row>
    <row r="65" spans="2:10" ht="14.7" thickBot="1" x14ac:dyDescent="0.6">
      <c r="B65" s="10" t="s">
        <v>42</v>
      </c>
      <c r="C65" s="5" t="s">
        <v>49</v>
      </c>
      <c r="D65" s="32">
        <v>5.45</v>
      </c>
      <c r="E65" s="90">
        <v>151536.38</v>
      </c>
      <c r="F65" s="90">
        <v>151536.38</v>
      </c>
      <c r="G65" s="89">
        <f t="shared" si="5"/>
        <v>0</v>
      </c>
      <c r="H65" s="90">
        <f t="shared" si="7"/>
        <v>156082.47140000001</v>
      </c>
      <c r="I65" s="93">
        <f t="shared" si="6"/>
        <v>156082.47140000001</v>
      </c>
    </row>
    <row r="66" spans="2:10" x14ac:dyDescent="0.55000000000000004">
      <c r="B66" s="10" t="s">
        <v>53</v>
      </c>
      <c r="C66" s="5" t="s">
        <v>131</v>
      </c>
      <c r="D66" s="32">
        <v>4.91</v>
      </c>
      <c r="E66" s="90">
        <v>151236.38</v>
      </c>
      <c r="F66" s="90">
        <v>151236.38</v>
      </c>
      <c r="G66" s="89">
        <f t="shared" si="5"/>
        <v>0</v>
      </c>
      <c r="H66" s="90">
        <f t="shared" si="7"/>
        <v>155773.47140000001</v>
      </c>
      <c r="I66" s="93">
        <f t="shared" si="6"/>
        <v>155773.47140000001</v>
      </c>
    </row>
    <row r="67" spans="2:10" x14ac:dyDescent="0.55000000000000004">
      <c r="B67" s="24"/>
      <c r="C67" s="25"/>
      <c r="D67" s="26">
        <f t="shared" ref="D67" si="8">SUM(D48:D66)</f>
        <v>99.999999999999986</v>
      </c>
      <c r="E67" s="26">
        <f t="shared" ref="E67:I67" si="9">SUM(E48:E66)</f>
        <v>2660329.6500000004</v>
      </c>
      <c r="F67" s="26">
        <f t="shared" si="9"/>
        <v>2660350.9399999995</v>
      </c>
      <c r="G67" s="26">
        <f>SUM(G48:G66)</f>
        <v>-21.290000000008149</v>
      </c>
      <c r="H67" s="26">
        <f t="shared" si="9"/>
        <v>2740139.5395000004</v>
      </c>
      <c r="I67" s="94">
        <f t="shared" si="9"/>
        <v>2740118.2495000004</v>
      </c>
    </row>
    <row r="68" spans="2:10" ht="20.399999999999999" x14ac:dyDescent="0.75">
      <c r="C68" s="66" t="s">
        <v>140</v>
      </c>
      <c r="D68" s="67"/>
      <c r="E68" s="68"/>
      <c r="F68" s="68"/>
      <c r="G68" s="69"/>
      <c r="H68" s="8"/>
      <c r="I68" s="2"/>
    </row>
    <row r="69" spans="2:10" x14ac:dyDescent="0.55000000000000004">
      <c r="C69" s="88" t="s">
        <v>94</v>
      </c>
      <c r="D69" s="16"/>
      <c r="G69" s="2"/>
      <c r="H69" s="8"/>
      <c r="I69" s="2"/>
      <c r="J69" s="1"/>
    </row>
    <row r="70" spans="2:10" ht="15.6" x14ac:dyDescent="0.6">
      <c r="B70" s="42" t="s">
        <v>103</v>
      </c>
      <c r="C70" s="1"/>
      <c r="D70" s="92"/>
      <c r="E70" s="34"/>
      <c r="F70" s="34"/>
      <c r="G70" s="1"/>
      <c r="H70" s="34"/>
      <c r="I70" s="1"/>
    </row>
    <row r="71" spans="2:10" x14ac:dyDescent="0.55000000000000004">
      <c r="B71" s="1" t="s">
        <v>111</v>
      </c>
      <c r="C71" s="1"/>
      <c r="D71" s="96"/>
      <c r="E71" s="97"/>
      <c r="F71" s="97"/>
      <c r="G71" s="3"/>
      <c r="H71" s="97"/>
      <c r="I71" s="3"/>
    </row>
    <row r="72" spans="2:10" x14ac:dyDescent="0.55000000000000004">
      <c r="C72"/>
      <c r="D72" s="16"/>
      <c r="G72" s="2"/>
      <c r="H72" s="8"/>
      <c r="I72" s="2"/>
    </row>
    <row r="73" spans="2:10" ht="15.6" x14ac:dyDescent="0.6">
      <c r="B73" s="42" t="s">
        <v>115</v>
      </c>
      <c r="C73" s="42"/>
      <c r="D73" s="39"/>
      <c r="E73" s="40"/>
      <c r="F73" s="40"/>
      <c r="G73" s="42"/>
      <c r="H73" s="40"/>
      <c r="I73" s="42"/>
    </row>
  </sheetData>
  <pageMargins left="0.9055118110236221" right="0.31496062992125984" top="0.35433070866141736" bottom="0.35433070866141736" header="0.31496062992125984" footer="0.31496062992125984"/>
  <pageSetup paperSize="9" scale="75" orientation="landscape" r:id="rId1"/>
  <rowBreaks count="1" manualBreakCount="1">
    <brk id="46" min="1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73"/>
  <sheetViews>
    <sheetView workbookViewId="0">
      <selection activeCell="I7" sqref="I7"/>
    </sheetView>
  </sheetViews>
  <sheetFormatPr baseColWidth="10" defaultRowHeight="14.4" x14ac:dyDescent="0.55000000000000004"/>
  <cols>
    <col min="1" max="1" width="10.83984375" customWidth="1"/>
    <col min="2" max="2" width="17.26171875" customWidth="1"/>
    <col min="3" max="3" width="7.15625" customWidth="1"/>
    <col min="4" max="4" width="16.26171875" customWidth="1"/>
    <col min="5" max="5" width="13.15625" customWidth="1"/>
    <col min="6" max="6" width="17.26171875" bestFit="1" customWidth="1"/>
    <col min="7" max="7" width="16.15625" customWidth="1"/>
    <col min="8" max="8" width="16.68359375" customWidth="1"/>
    <col min="9" max="9" width="12.26171875" customWidth="1"/>
    <col min="10" max="10" width="11.41796875" hidden="1" customWidth="1"/>
    <col min="11" max="11" width="0.41796875" hidden="1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142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35">
        <v>140761.96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35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SUM(D9:D10)</f>
        <v>140761.96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2740139.5395000004</v>
      </c>
      <c r="H67" s="94">
        <f t="shared" si="9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I73"/>
  <sheetViews>
    <sheetView workbookViewId="0">
      <selection activeCell="G61" sqref="G61"/>
    </sheetView>
  </sheetViews>
  <sheetFormatPr baseColWidth="10" defaultRowHeight="14.4" x14ac:dyDescent="0.55000000000000004"/>
  <cols>
    <col min="1" max="1" width="15.26171875" customWidth="1"/>
    <col min="2" max="2" width="16.41796875" customWidth="1"/>
    <col min="3" max="3" width="6.68359375" customWidth="1"/>
    <col min="4" max="4" width="15.83984375" customWidth="1"/>
    <col min="5" max="5" width="12.68359375" customWidth="1"/>
    <col min="6" max="6" width="13.68359375" customWidth="1"/>
    <col min="7" max="7" width="20.578125" bestFit="1" customWidth="1"/>
    <col min="8" max="8" width="17.839843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123</v>
      </c>
      <c r="E8" s="40" t="s">
        <v>124</v>
      </c>
      <c r="F8" s="8"/>
      <c r="G8" s="8"/>
      <c r="H8" s="2"/>
    </row>
    <row r="9" spans="1:8" x14ac:dyDescent="0.55000000000000004">
      <c r="A9" s="1" t="s">
        <v>7</v>
      </c>
      <c r="B9" s="1"/>
      <c r="C9" s="16"/>
      <c r="D9" s="35">
        <v>170859.99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35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170859.99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164386.21*1.03</f>
        <v>169317.79629999999</v>
      </c>
      <c r="H51" s="93">
        <f t="shared" si="6"/>
        <v>169302.03629999998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87258.56*1.03</f>
        <v>89876.316800000001</v>
      </c>
      <c r="H52" s="93">
        <f t="shared" si="6"/>
        <v>89876.316800000001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>176088.87*1.03</f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>165883.49*1.03</f>
        <v>170859.99469999998</v>
      </c>
      <c r="H61" s="93">
        <f t="shared" si="6"/>
        <v>170859.99469999998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2736380.4515</v>
      </c>
      <c r="H67" s="94">
        <f t="shared" si="9"/>
        <v>2736359.1614999999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I73"/>
  <sheetViews>
    <sheetView workbookViewId="0">
      <selection activeCell="H7" sqref="H7"/>
    </sheetView>
  </sheetViews>
  <sheetFormatPr baseColWidth="10" defaultRowHeight="14.4" x14ac:dyDescent="0.55000000000000004"/>
  <cols>
    <col min="1" max="1" width="11.68359375" customWidth="1"/>
    <col min="2" max="2" width="17" customWidth="1"/>
    <col min="3" max="3" width="11.41796875" customWidth="1"/>
    <col min="4" max="4" width="16.41796875" customWidth="1"/>
    <col min="5" max="5" width="17.26171875" bestFit="1" customWidth="1"/>
    <col min="6" max="6" width="15.15625" customWidth="1"/>
    <col min="7" max="7" width="16.578125" customWidth="1"/>
    <col min="8" max="8" width="19" customWidth="1"/>
  </cols>
  <sheetData>
    <row r="1" spans="1:8" ht="18.3" x14ac:dyDescent="0.7">
      <c r="A1" s="63"/>
      <c r="B1" s="72" t="s">
        <v>137</v>
      </c>
      <c r="C1" s="71"/>
      <c r="D1" s="8"/>
      <c r="E1" s="8"/>
      <c r="F1" s="35"/>
      <c r="G1" s="35"/>
      <c r="H1" s="65"/>
    </row>
    <row r="2" spans="1:8" ht="15.6" x14ac:dyDescent="0.6">
      <c r="A2" s="63"/>
      <c r="B2" s="42" t="s">
        <v>138</v>
      </c>
      <c r="C2" s="16"/>
      <c r="D2" s="8"/>
      <c r="E2" s="8"/>
      <c r="F2" s="35"/>
      <c r="G2" s="35"/>
      <c r="H2" s="98"/>
    </row>
    <row r="3" spans="1:8" x14ac:dyDescent="0.55000000000000004">
      <c r="A3" s="63"/>
      <c r="B3" s="1"/>
      <c r="C3" s="16"/>
      <c r="D3" s="8"/>
      <c r="E3" s="8"/>
      <c r="F3" s="35"/>
      <c r="G3" s="35"/>
      <c r="H3" s="98"/>
    </row>
    <row r="4" spans="1:8" x14ac:dyDescent="0.55000000000000004">
      <c r="A4" s="1" t="s">
        <v>0</v>
      </c>
      <c r="B4" s="63"/>
      <c r="C4" s="71"/>
      <c r="D4" s="35"/>
      <c r="E4" s="35"/>
      <c r="F4" s="34" t="s">
        <v>3</v>
      </c>
      <c r="G4" s="35"/>
      <c r="H4" s="65"/>
    </row>
    <row r="5" spans="1:8" x14ac:dyDescent="0.55000000000000004">
      <c r="A5" s="63" t="s">
        <v>1</v>
      </c>
      <c r="B5" s="63"/>
      <c r="C5" s="71"/>
      <c r="D5" s="35"/>
      <c r="E5" s="35"/>
      <c r="F5" s="35" t="s">
        <v>4</v>
      </c>
      <c r="G5" s="35"/>
      <c r="H5" s="63"/>
    </row>
    <row r="6" spans="1:8" x14ac:dyDescent="0.55000000000000004">
      <c r="A6" s="63" t="s">
        <v>2</v>
      </c>
      <c r="B6" s="63"/>
      <c r="C6" s="71"/>
      <c r="D6" s="35"/>
      <c r="E6" s="35"/>
      <c r="F6" s="35" t="s">
        <v>5</v>
      </c>
      <c r="G6" s="35"/>
      <c r="H6" s="63"/>
    </row>
    <row r="7" spans="1:8" x14ac:dyDescent="0.55000000000000004">
      <c r="A7" s="91">
        <v>1168722530</v>
      </c>
      <c r="B7" s="63"/>
      <c r="C7" s="71"/>
      <c r="D7" s="35"/>
      <c r="E7" s="35"/>
      <c r="F7" s="35"/>
      <c r="G7" s="35"/>
      <c r="H7" s="63"/>
    </row>
    <row r="8" spans="1:8" x14ac:dyDescent="0.55000000000000004">
      <c r="A8" s="63"/>
      <c r="B8" s="63"/>
      <c r="C8" s="92" t="s">
        <v>35</v>
      </c>
      <c r="D8" s="34" t="s">
        <v>125</v>
      </c>
      <c r="E8" s="35"/>
      <c r="F8" s="35"/>
      <c r="G8" s="35"/>
      <c r="H8" s="63"/>
    </row>
    <row r="9" spans="1:8" x14ac:dyDescent="0.55000000000000004">
      <c r="A9" s="1" t="s">
        <v>7</v>
      </c>
      <c r="B9" s="1"/>
      <c r="C9" s="71">
        <v>170102.57</v>
      </c>
      <c r="D9" s="35"/>
      <c r="E9" s="35"/>
      <c r="F9" s="35"/>
      <c r="G9" s="35"/>
      <c r="H9" s="63"/>
    </row>
    <row r="10" spans="1:8" x14ac:dyDescent="0.55000000000000004">
      <c r="A10" s="63" t="s">
        <v>8</v>
      </c>
      <c r="B10" s="63"/>
      <c r="C10" s="71">
        <v>-0.87</v>
      </c>
      <c r="D10" s="35"/>
      <c r="E10" s="35"/>
      <c r="F10" s="35"/>
      <c r="G10" s="35"/>
      <c r="H10" s="63"/>
    </row>
    <row r="11" spans="1:8" x14ac:dyDescent="0.55000000000000004">
      <c r="A11" s="63" t="s">
        <v>11</v>
      </c>
      <c r="B11" s="63"/>
      <c r="C11" s="71"/>
      <c r="D11" s="35"/>
      <c r="E11" s="35"/>
      <c r="F11" s="35"/>
      <c r="G11" s="35"/>
      <c r="H11" s="63"/>
    </row>
    <row r="12" spans="1:8" ht="14.7" thickBot="1" x14ac:dyDescent="0.6">
      <c r="A12" s="1" t="s">
        <v>144</v>
      </c>
      <c r="C12" s="16"/>
      <c r="D12" s="35"/>
      <c r="E12" s="35"/>
      <c r="F12" s="35"/>
      <c r="G12" s="34">
        <f>C9+C10</f>
        <v>170101.7</v>
      </c>
      <c r="H12" s="63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2740139.5395000004</v>
      </c>
      <c r="H67" s="94">
        <f t="shared" si="9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7" man="1"/>
  </rowBreaks>
  <colBreaks count="1" manualBreakCount="1">
    <brk id="8" max="7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I73"/>
  <sheetViews>
    <sheetView workbookViewId="0">
      <selection activeCell="I5" sqref="I5"/>
    </sheetView>
  </sheetViews>
  <sheetFormatPr baseColWidth="10" defaultRowHeight="14.4" x14ac:dyDescent="0.55000000000000004"/>
  <cols>
    <col min="1" max="1" width="14.26171875" customWidth="1"/>
    <col min="2" max="2" width="16.578125" customWidth="1"/>
    <col min="3" max="3" width="10.68359375" customWidth="1"/>
    <col min="4" max="4" width="15.83984375" customWidth="1"/>
    <col min="5" max="5" width="12.83984375" customWidth="1"/>
    <col min="6" max="6" width="15.26171875" customWidth="1"/>
    <col min="7" max="7" width="14.26171875" customWidth="1"/>
    <col min="8" max="8" width="16.261718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 t="s">
        <v>126</v>
      </c>
      <c r="D8" s="40"/>
      <c r="E8" s="41"/>
      <c r="F8" s="8"/>
      <c r="G8" s="8"/>
      <c r="H8" s="2"/>
    </row>
    <row r="9" spans="1:8" x14ac:dyDescent="0.55000000000000004">
      <c r="A9" s="1" t="s">
        <v>7</v>
      </c>
      <c r="B9" s="1"/>
      <c r="C9" s="71">
        <v>170168.21</v>
      </c>
      <c r="D9" s="8"/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C9+C10</f>
        <v>170168.21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2740139.5395000004</v>
      </c>
      <c r="H67" s="94">
        <f t="shared" si="9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I73"/>
  <sheetViews>
    <sheetView workbookViewId="0">
      <selection activeCell="I5" sqref="I5:I6"/>
    </sheetView>
  </sheetViews>
  <sheetFormatPr baseColWidth="10" defaultRowHeight="14.4" x14ac:dyDescent="0.55000000000000004"/>
  <cols>
    <col min="1" max="1" width="12.15625" customWidth="1"/>
    <col min="2" max="2" width="16" customWidth="1"/>
    <col min="3" max="3" width="11.578125" customWidth="1"/>
    <col min="4" max="4" width="17" customWidth="1"/>
    <col min="5" max="5" width="17.15625" bestFit="1" customWidth="1"/>
    <col min="6" max="6" width="13.15625" customWidth="1"/>
    <col min="7" max="7" width="18.68359375" customWidth="1"/>
    <col min="8" max="8" width="13.156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132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95357.11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102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95357.11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2740139.5395000004</v>
      </c>
      <c r="H67" s="94">
        <f t="shared" si="9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74" orientation="landscape" r:id="rId1"/>
  <rowBreaks count="1" manualBreakCount="1">
    <brk id="46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I73"/>
  <sheetViews>
    <sheetView workbookViewId="0">
      <selection activeCell="G10" sqref="G10"/>
    </sheetView>
  </sheetViews>
  <sheetFormatPr baseColWidth="10" defaultRowHeight="14.4" x14ac:dyDescent="0.55000000000000004"/>
  <cols>
    <col min="1" max="1" width="12.15625" customWidth="1"/>
    <col min="2" max="2" width="16" customWidth="1"/>
    <col min="3" max="3" width="11.578125" customWidth="1"/>
    <col min="4" max="4" width="17.26171875" customWidth="1"/>
    <col min="5" max="5" width="15.26171875" bestFit="1" customWidth="1"/>
    <col min="6" max="6" width="13.15625" customWidth="1"/>
    <col min="7" max="7" width="18.68359375" customWidth="1"/>
    <col min="8" max="8" width="13.156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97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334540.65000000002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334540.65000000002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2660350.9399999995</v>
      </c>
      <c r="F38" s="7"/>
      <c r="G38" s="73">
        <f>E38+F38</f>
        <v>2660350.9399999995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461678.51999999909</v>
      </c>
      <c r="F43" s="62">
        <f>SUM(F37:F42)</f>
        <v>4616461</v>
      </c>
      <c r="G43" s="75">
        <f>SUM(G37:G42)</f>
        <v>3057873.5399999996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461678.51999999909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461678.51999999909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151236.38</v>
      </c>
      <c r="E66" s="90">
        <v>151236.38</v>
      </c>
      <c r="F66" s="89">
        <f t="shared" si="5"/>
        <v>0</v>
      </c>
      <c r="G66" s="90">
        <f t="shared" si="7"/>
        <v>155773.47140000001</v>
      </c>
      <c r="H66" s="93">
        <f t="shared" si="6"/>
        <v>155773.47140000001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2660329.6500000004</v>
      </c>
      <c r="E67" s="26">
        <f t="shared" si="9"/>
        <v>2660350.9399999995</v>
      </c>
      <c r="F67" s="26">
        <f>SUM(F48:F66)</f>
        <v>-21.290000000008149</v>
      </c>
      <c r="G67" s="26">
        <f t="shared" si="9"/>
        <v>2740139.5395000004</v>
      </c>
      <c r="H67" s="94">
        <f t="shared" si="9"/>
        <v>2740118.2495000004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7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I73"/>
  <sheetViews>
    <sheetView workbookViewId="0">
      <selection activeCell="K15" sqref="K15"/>
    </sheetView>
  </sheetViews>
  <sheetFormatPr baseColWidth="10" defaultRowHeight="14.4" x14ac:dyDescent="0.55000000000000004"/>
  <cols>
    <col min="1" max="1" width="12.15625" customWidth="1"/>
    <col min="2" max="2" width="16" customWidth="1"/>
    <col min="3" max="3" width="11.578125" customWidth="1"/>
    <col min="4" max="4" width="16" customWidth="1"/>
    <col min="5" max="5" width="15.26171875" bestFit="1" customWidth="1"/>
    <col min="6" max="6" width="13.15625" customWidth="1"/>
    <col min="7" max="7" width="18.68359375" customWidth="1"/>
    <col min="8" max="8" width="13.156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118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183857.22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183857.22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6" orientation="landscape" r:id="rId1"/>
  <rowBreaks count="1" manualBreakCount="1">
    <brk id="46" max="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I73"/>
  <sheetViews>
    <sheetView workbookViewId="0">
      <selection activeCell="I8" sqref="I8"/>
    </sheetView>
  </sheetViews>
  <sheetFormatPr baseColWidth="10" defaultRowHeight="14.4" x14ac:dyDescent="0.55000000000000004"/>
  <cols>
    <col min="1" max="1" width="11.578125" customWidth="1"/>
    <col min="2" max="2" width="19.41796875" customWidth="1"/>
    <col min="3" max="3" width="6.41796875" customWidth="1"/>
    <col min="4" max="4" width="18.578125" customWidth="1"/>
    <col min="5" max="5" width="13.578125" customWidth="1"/>
    <col min="6" max="6" width="15.68359375" bestFit="1" customWidth="1"/>
    <col min="7" max="7" width="14.15625" customWidth="1"/>
    <col min="8" max="8" width="19.5781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127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173772.65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104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173772.65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68" orientation="landscape" r:id="rId1"/>
  <rowBreaks count="1" manualBreakCount="1">
    <brk id="46" max="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J73"/>
  <sheetViews>
    <sheetView workbookViewId="0">
      <selection activeCell="J9" sqref="J9"/>
    </sheetView>
  </sheetViews>
  <sheetFormatPr baseColWidth="10" defaultRowHeight="14.4" x14ac:dyDescent="0.55000000000000004"/>
  <cols>
    <col min="1" max="1" width="13.68359375" customWidth="1"/>
    <col min="2" max="2" width="21.26171875" customWidth="1"/>
    <col min="3" max="3" width="11.68359375" customWidth="1"/>
    <col min="4" max="4" width="22.68359375" bestFit="1" customWidth="1"/>
    <col min="5" max="5" width="12.68359375" customWidth="1"/>
    <col min="6" max="6" width="15.68359375" bestFit="1" customWidth="1"/>
    <col min="7" max="7" width="15.41796875" customWidth="1"/>
    <col min="8" max="8" width="12.839843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t="s">
        <v>96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128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159264.29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102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159264.29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10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10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10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10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10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  <c r="J37" s="80"/>
    </row>
    <row r="38" spans="1:10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10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10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10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10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10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10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10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10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10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10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69" orientation="landscape" r:id="rId1"/>
  <rowBreaks count="1" manualBreakCount="1">
    <brk id="46" max="7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I73"/>
  <sheetViews>
    <sheetView workbookViewId="0">
      <selection activeCell="H7" sqref="H7"/>
    </sheetView>
  </sheetViews>
  <sheetFormatPr baseColWidth="10" defaultRowHeight="14.4" x14ac:dyDescent="0.55000000000000004"/>
  <cols>
    <col min="1" max="1" width="12.26171875" customWidth="1"/>
    <col min="2" max="2" width="16.68359375" customWidth="1"/>
    <col min="3" max="3" width="9.41796875" customWidth="1"/>
    <col min="4" max="4" width="15.83984375" customWidth="1"/>
    <col min="5" max="5" width="14.41796875" customWidth="1"/>
    <col min="6" max="6" width="15.578125" bestFit="1" customWidth="1"/>
    <col min="7" max="7" width="14.26171875" customWidth="1"/>
    <col min="8" max="8" width="17.683593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t="s">
        <v>96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119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168903.77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>
        <v>-15.76</v>
      </c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SUM(D9:D10)</f>
        <v>168888.00999999998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I73"/>
  <sheetViews>
    <sheetView workbookViewId="0">
      <selection activeCell="H10" sqref="H10"/>
    </sheetView>
  </sheetViews>
  <sheetFormatPr baseColWidth="10" defaultRowHeight="14.4" x14ac:dyDescent="0.55000000000000004"/>
  <cols>
    <col min="1" max="1" width="11.83984375" customWidth="1"/>
    <col min="2" max="2" width="18.15625" customWidth="1"/>
    <col min="3" max="3" width="7.15625" customWidth="1"/>
    <col min="4" max="4" width="17.26171875" customWidth="1"/>
    <col min="5" max="5" width="13.83984375" customWidth="1"/>
    <col min="6" max="6" width="15.68359375" bestFit="1" customWidth="1"/>
    <col min="7" max="7" width="14.15625" customWidth="1"/>
    <col min="8" max="8" width="19.156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t="s">
        <v>96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98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181603.51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D9+D10</f>
        <v>181603.51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176314.09*1.03</f>
        <v>181603.51269999999</v>
      </c>
      <c r="H57" s="93">
        <f t="shared" si="6"/>
        <v>181603.51269999999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2804124.4476000001</v>
      </c>
      <c r="H67" s="94">
        <f t="shared" si="9"/>
        <v>2804103.1576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15748031496062992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I73"/>
  <sheetViews>
    <sheetView workbookViewId="0">
      <selection activeCell="I7" sqref="I7"/>
    </sheetView>
  </sheetViews>
  <sheetFormatPr baseColWidth="10" defaultRowHeight="14.4" x14ac:dyDescent="0.55000000000000004"/>
  <cols>
    <col min="1" max="1" width="13.15625" customWidth="1"/>
    <col min="2" max="2" width="18.26171875" customWidth="1"/>
    <col min="3" max="3" width="7.26171875" customWidth="1"/>
    <col min="4" max="4" width="16.15625" customWidth="1"/>
    <col min="5" max="5" width="14.15625" customWidth="1"/>
    <col min="6" max="6" width="17.26171875" bestFit="1" customWidth="1"/>
    <col min="7" max="7" width="13.578125" customWidth="1"/>
    <col min="8" max="8" width="15.261718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t="s">
        <v>96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99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8"/>
      <c r="E9" s="35">
        <v>73477.69</v>
      </c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E9+E10</f>
        <v>73477.69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I73"/>
  <sheetViews>
    <sheetView workbookViewId="0">
      <selection activeCell="J21" sqref="J21"/>
    </sheetView>
  </sheetViews>
  <sheetFormatPr baseColWidth="10" defaultRowHeight="14.4" x14ac:dyDescent="0.55000000000000004"/>
  <cols>
    <col min="1" max="1" width="14.15625" customWidth="1"/>
    <col min="2" max="2" width="17.26171875" customWidth="1"/>
    <col min="3" max="3" width="6.578125" customWidth="1"/>
    <col min="4" max="4" width="16" customWidth="1"/>
    <col min="5" max="5" width="14.578125" customWidth="1"/>
    <col min="6" max="6" width="17.578125" bestFit="1" customWidth="1"/>
    <col min="7" max="7" width="13.83984375" customWidth="1"/>
    <col min="8" max="8" width="17.683593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t="s">
        <v>96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100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8"/>
      <c r="E9" s="102">
        <v>147388.49</v>
      </c>
      <c r="F9" s="8"/>
      <c r="G9" s="8"/>
      <c r="H9" s="2"/>
    </row>
    <row r="10" spans="1:8" x14ac:dyDescent="0.55000000000000004">
      <c r="A10" t="s">
        <v>8</v>
      </c>
      <c r="C10" s="16"/>
      <c r="D10" s="8"/>
      <c r="E10" s="8">
        <v>-4.38</v>
      </c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E9+E10</f>
        <v>147384.10999999999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I73"/>
  <sheetViews>
    <sheetView workbookViewId="0">
      <selection activeCell="J13" sqref="J13"/>
    </sheetView>
  </sheetViews>
  <sheetFormatPr baseColWidth="10" defaultRowHeight="14.4" x14ac:dyDescent="0.55000000000000004"/>
  <cols>
    <col min="1" max="1" width="14" customWidth="1"/>
    <col min="2" max="2" width="14.83984375" customWidth="1"/>
    <col min="3" max="3" width="14.41796875" customWidth="1"/>
    <col min="4" max="4" width="16.15625" customWidth="1"/>
    <col min="5" max="5" width="13.26171875" customWidth="1"/>
    <col min="6" max="6" width="17.578125" bestFit="1" customWidth="1"/>
    <col min="7" max="7" width="13.578125" customWidth="1"/>
    <col min="8" max="8" width="12.1562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108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152145.19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4.7" thickBot="1" x14ac:dyDescent="0.6">
      <c r="A12" s="1" t="s">
        <v>144</v>
      </c>
      <c r="C12" s="16"/>
      <c r="D12" s="8"/>
      <c r="E12" s="8"/>
      <c r="F12" s="8"/>
      <c r="G12" s="34">
        <f>SUM(D9:D10)</f>
        <v>152145.19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J73"/>
  <sheetViews>
    <sheetView workbookViewId="0">
      <selection activeCell="I9" sqref="I9"/>
    </sheetView>
  </sheetViews>
  <sheetFormatPr baseColWidth="10" defaultRowHeight="14.4" x14ac:dyDescent="0.55000000000000004"/>
  <cols>
    <col min="1" max="1" width="0.15625" customWidth="1"/>
    <col min="2" max="2" width="14" customWidth="1"/>
    <col min="3" max="3" width="14.15625" customWidth="1"/>
    <col min="5" max="5" width="16" customWidth="1"/>
    <col min="6" max="6" width="12.83984375" customWidth="1"/>
    <col min="7" max="7" width="12.41796875" customWidth="1"/>
    <col min="8" max="8" width="14.68359375" customWidth="1"/>
    <col min="9" max="9" width="18.15625" customWidth="1"/>
  </cols>
  <sheetData>
    <row r="1" spans="1:9" ht="18.3" x14ac:dyDescent="0.7">
      <c r="C1" s="72" t="s">
        <v>137</v>
      </c>
      <c r="D1" s="71"/>
      <c r="E1" s="8"/>
      <c r="F1" s="8"/>
      <c r="G1" s="8"/>
      <c r="H1" s="8"/>
      <c r="I1" s="15"/>
    </row>
    <row r="2" spans="1:9" ht="15.6" x14ac:dyDescent="0.6">
      <c r="C2" s="42" t="s">
        <v>138</v>
      </c>
      <c r="D2" s="16"/>
      <c r="E2" s="8"/>
      <c r="F2" s="8"/>
      <c r="G2" s="8"/>
      <c r="H2" s="8"/>
      <c r="I2" s="23"/>
    </row>
    <row r="3" spans="1:9" x14ac:dyDescent="0.55000000000000004">
      <c r="C3" s="1"/>
      <c r="D3" s="16"/>
      <c r="E3" s="8"/>
      <c r="F3" s="8"/>
      <c r="G3" s="8"/>
      <c r="H3" s="8"/>
      <c r="I3" s="23"/>
    </row>
    <row r="4" spans="1:9" x14ac:dyDescent="0.55000000000000004">
      <c r="B4" s="1" t="s">
        <v>0</v>
      </c>
      <c r="D4" s="16"/>
      <c r="E4" s="8"/>
      <c r="F4" s="8"/>
      <c r="G4" s="34" t="s">
        <v>3</v>
      </c>
      <c r="H4" s="35"/>
      <c r="I4" s="15"/>
    </row>
    <row r="5" spans="1:9" x14ac:dyDescent="0.55000000000000004">
      <c r="B5" t="s">
        <v>1</v>
      </c>
      <c r="D5" s="16"/>
      <c r="E5" s="8"/>
      <c r="F5" s="8"/>
      <c r="G5" s="35" t="s">
        <v>4</v>
      </c>
      <c r="H5" s="35"/>
      <c r="I5" s="2"/>
    </row>
    <row r="6" spans="1:9" x14ac:dyDescent="0.55000000000000004">
      <c r="B6" t="s">
        <v>2</v>
      </c>
      <c r="D6" s="16"/>
      <c r="E6" s="8"/>
      <c r="F6" s="8"/>
      <c r="G6" s="35" t="s">
        <v>5</v>
      </c>
      <c r="H6" s="35"/>
      <c r="I6" s="2"/>
    </row>
    <row r="7" spans="1:9" x14ac:dyDescent="0.55000000000000004">
      <c r="B7" t="s">
        <v>6</v>
      </c>
      <c r="D7" s="16"/>
      <c r="E7" s="8"/>
      <c r="F7" s="8"/>
      <c r="G7" s="8"/>
      <c r="H7" s="8"/>
      <c r="I7" s="2"/>
    </row>
    <row r="8" spans="1:9" ht="15.6" x14ac:dyDescent="0.6">
      <c r="D8" s="39"/>
      <c r="E8" s="40" t="s">
        <v>145</v>
      </c>
      <c r="F8" s="41"/>
      <c r="G8" s="8"/>
      <c r="H8" s="8"/>
      <c r="I8" s="2"/>
    </row>
    <row r="9" spans="1:9" x14ac:dyDescent="0.55000000000000004">
      <c r="B9" s="1" t="s">
        <v>7</v>
      </c>
      <c r="C9" s="1"/>
      <c r="D9" s="16"/>
      <c r="E9" s="8">
        <v>75706.77</v>
      </c>
      <c r="F9" s="8"/>
      <c r="G9" s="8"/>
      <c r="H9" s="8"/>
      <c r="I9" s="2"/>
    </row>
    <row r="10" spans="1:9" ht="14.7" thickBot="1" x14ac:dyDescent="0.6">
      <c r="B10" t="s">
        <v>8</v>
      </c>
      <c r="D10" s="16"/>
      <c r="E10" s="8">
        <v>-0.28000000000000003</v>
      </c>
      <c r="F10" s="8"/>
      <c r="G10" s="8"/>
      <c r="H10" s="8"/>
      <c r="I10" s="2"/>
    </row>
    <row r="11" spans="1:9" ht="14.7" thickBot="1" x14ac:dyDescent="0.6">
      <c r="A11" s="27"/>
      <c r="B11" t="s">
        <v>11</v>
      </c>
      <c r="D11" s="16"/>
      <c r="E11" s="8"/>
      <c r="F11" s="8"/>
      <c r="G11" s="8"/>
      <c r="H11" s="8"/>
      <c r="I11" s="2"/>
    </row>
    <row r="12" spans="1:9" ht="15.9" thickBot="1" x14ac:dyDescent="0.65">
      <c r="A12" s="3" t="s">
        <v>14</v>
      </c>
      <c r="B12" s="1" t="s">
        <v>144</v>
      </c>
      <c r="D12" s="16"/>
      <c r="E12" s="8"/>
      <c r="F12" s="8"/>
      <c r="G12" s="8"/>
      <c r="H12" s="40">
        <f>SUM(E9:E10)</f>
        <v>75706.490000000005</v>
      </c>
      <c r="I12" s="2"/>
    </row>
    <row r="13" spans="1:9" ht="14.7" thickBot="1" x14ac:dyDescent="0.6">
      <c r="A13" s="63" t="s">
        <v>72</v>
      </c>
      <c r="B13" s="27"/>
      <c r="C13" s="28"/>
      <c r="D13" s="29" t="s">
        <v>12</v>
      </c>
      <c r="E13" s="30"/>
      <c r="F13" s="85" t="s">
        <v>15</v>
      </c>
      <c r="G13" s="85" t="s">
        <v>70</v>
      </c>
      <c r="H13" s="86" t="s">
        <v>16</v>
      </c>
      <c r="I13" s="82" t="s">
        <v>85</v>
      </c>
    </row>
    <row r="14" spans="1:9" x14ac:dyDescent="0.55000000000000004">
      <c r="A14" s="63" t="s">
        <v>75</v>
      </c>
      <c r="B14" s="3" t="s">
        <v>14</v>
      </c>
      <c r="D14" s="16"/>
      <c r="E14" s="8"/>
      <c r="F14" s="7"/>
      <c r="G14" s="7"/>
      <c r="H14" s="7"/>
      <c r="I14" s="83"/>
    </row>
    <row r="15" spans="1:9" ht="14.7" thickBot="1" x14ac:dyDescent="0.6">
      <c r="B15" t="s">
        <v>134</v>
      </c>
      <c r="C15" s="2"/>
      <c r="D15" s="2"/>
      <c r="E15" s="8"/>
      <c r="F15" s="70">
        <v>754089</v>
      </c>
      <c r="G15" s="7"/>
      <c r="H15" s="7">
        <f>F15</f>
        <v>754089</v>
      </c>
      <c r="I15" s="84"/>
    </row>
    <row r="16" spans="1:9" ht="14.7" thickBot="1" x14ac:dyDescent="0.6">
      <c r="A16" s="3" t="s">
        <v>18</v>
      </c>
      <c r="D16" s="16"/>
      <c r="E16" s="21" t="s">
        <v>20</v>
      </c>
      <c r="F16" s="9">
        <f>SUM(F15:F15)</f>
        <v>754089</v>
      </c>
      <c r="G16" s="9">
        <f>SUM(G15:G15)</f>
        <v>0</v>
      </c>
      <c r="H16" s="9">
        <f>SUM(H15:H15)</f>
        <v>754089</v>
      </c>
      <c r="I16" s="83"/>
    </row>
    <row r="17" spans="1:10" x14ac:dyDescent="0.55000000000000004">
      <c r="A17" t="s">
        <v>17</v>
      </c>
      <c r="B17" s="3" t="s">
        <v>18</v>
      </c>
      <c r="D17" s="16"/>
      <c r="E17" s="8"/>
      <c r="F17" s="6"/>
      <c r="G17" s="6"/>
      <c r="H17" s="22"/>
      <c r="I17" s="5"/>
    </row>
    <row r="18" spans="1:10" x14ac:dyDescent="0.55000000000000004">
      <c r="B18" t="s">
        <v>17</v>
      </c>
      <c r="D18" s="16"/>
      <c r="E18" s="8"/>
      <c r="F18" s="70">
        <v>91219.13</v>
      </c>
      <c r="G18" s="7"/>
      <c r="H18" s="73">
        <f>F18</f>
        <v>91219.13</v>
      </c>
      <c r="I18" s="5"/>
    </row>
    <row r="19" spans="1:10" ht="14.7" thickBot="1" x14ac:dyDescent="0.6">
      <c r="A19" s="3" t="s">
        <v>19</v>
      </c>
      <c r="B19" t="s">
        <v>109</v>
      </c>
      <c r="D19" s="16"/>
      <c r="E19" s="8"/>
      <c r="F19" s="99">
        <v>599664.24</v>
      </c>
      <c r="G19" s="7"/>
      <c r="H19" s="7">
        <f t="shared" ref="H19" si="0">F19</f>
        <v>599664.24</v>
      </c>
      <c r="I19" s="5"/>
    </row>
    <row r="20" spans="1:10" ht="14.7" thickBot="1" x14ac:dyDescent="0.6">
      <c r="A20" t="s">
        <v>22</v>
      </c>
      <c r="D20" s="16"/>
      <c r="E20" s="21" t="s">
        <v>21</v>
      </c>
      <c r="F20" s="100">
        <f>SUM(F18:F19)</f>
        <v>690883.37</v>
      </c>
      <c r="G20" s="100">
        <f>SUM(G18:G19)</f>
        <v>0</v>
      </c>
      <c r="H20" s="100">
        <f>SUM(H18:H19)</f>
        <v>690883.37</v>
      </c>
      <c r="I20" s="5"/>
    </row>
    <row r="21" spans="1:10" x14ac:dyDescent="0.55000000000000004">
      <c r="A21" t="s">
        <v>23</v>
      </c>
      <c r="B21" s="3" t="s">
        <v>19</v>
      </c>
      <c r="C21" s="2"/>
      <c r="D21" s="16"/>
      <c r="E21" s="8"/>
      <c r="F21" s="6"/>
      <c r="G21" s="6"/>
      <c r="H21" s="22">
        <f t="shared" ref="H21:H24" si="1">F21+G21</f>
        <v>0</v>
      </c>
      <c r="I21" s="5"/>
    </row>
    <row r="22" spans="1:10" x14ac:dyDescent="0.55000000000000004">
      <c r="A22" t="s">
        <v>69</v>
      </c>
      <c r="B22" t="s">
        <v>22</v>
      </c>
      <c r="D22" s="16"/>
      <c r="E22" s="8"/>
      <c r="F22" s="70">
        <v>350000</v>
      </c>
      <c r="G22" s="7"/>
      <c r="H22" s="73">
        <f t="shared" si="1"/>
        <v>350000</v>
      </c>
      <c r="I22" s="5"/>
    </row>
    <row r="23" spans="1:10" x14ac:dyDescent="0.55000000000000004">
      <c r="B23" t="s">
        <v>105</v>
      </c>
      <c r="D23" s="16"/>
      <c r="E23" s="8"/>
      <c r="F23" s="70">
        <v>821</v>
      </c>
      <c r="G23" s="7"/>
      <c r="H23" s="73">
        <f t="shared" si="1"/>
        <v>821</v>
      </c>
      <c r="I23" s="5"/>
    </row>
    <row r="24" spans="1:10" ht="14.7" thickBot="1" x14ac:dyDescent="0.6">
      <c r="B24" t="s">
        <v>82</v>
      </c>
      <c r="D24" s="16"/>
      <c r="E24" s="8"/>
      <c r="F24" s="70">
        <v>0</v>
      </c>
      <c r="G24" s="7"/>
      <c r="H24" s="73">
        <f t="shared" si="1"/>
        <v>0</v>
      </c>
      <c r="I24" s="5"/>
    </row>
    <row r="25" spans="1:10" ht="14.7" thickBot="1" x14ac:dyDescent="0.6">
      <c r="A25" s="3" t="s">
        <v>25</v>
      </c>
      <c r="D25" s="16"/>
      <c r="E25" s="21" t="s">
        <v>24</v>
      </c>
      <c r="F25" s="9">
        <f>SUM(F22:F24)</f>
        <v>350821</v>
      </c>
      <c r="G25" s="9"/>
      <c r="H25" s="9">
        <f>SUM(H22:H24)</f>
        <v>350821</v>
      </c>
      <c r="I25" s="5"/>
    </row>
    <row r="26" spans="1:10" x14ac:dyDescent="0.55000000000000004">
      <c r="B26" s="3" t="s">
        <v>25</v>
      </c>
      <c r="D26" s="16"/>
      <c r="E26" s="8"/>
      <c r="F26" s="6"/>
      <c r="G26" s="6"/>
      <c r="H26" s="22">
        <f t="shared" ref="H26:H29" si="2">F26+G26</f>
        <v>0</v>
      </c>
      <c r="I26" s="5"/>
    </row>
    <row r="27" spans="1:10" x14ac:dyDescent="0.55000000000000004">
      <c r="A27" t="s">
        <v>76</v>
      </c>
      <c r="B27" t="s">
        <v>84</v>
      </c>
      <c r="D27" s="16"/>
      <c r="E27" s="8"/>
      <c r="F27" s="70">
        <v>66000</v>
      </c>
      <c r="G27" s="7"/>
      <c r="H27" s="73">
        <f t="shared" si="2"/>
        <v>66000</v>
      </c>
      <c r="I27" s="5"/>
    </row>
    <row r="28" spans="1:10" x14ac:dyDescent="0.55000000000000004">
      <c r="A28" t="s">
        <v>80</v>
      </c>
      <c r="B28" t="s">
        <v>139</v>
      </c>
      <c r="D28" s="16"/>
      <c r="E28" s="8"/>
      <c r="F28" s="70">
        <v>215000</v>
      </c>
      <c r="G28" s="7"/>
      <c r="H28" s="73">
        <f t="shared" si="2"/>
        <v>215000</v>
      </c>
      <c r="I28" s="5"/>
    </row>
    <row r="29" spans="1:10" ht="14.7" thickBot="1" x14ac:dyDescent="0.6">
      <c r="A29" t="s">
        <v>83</v>
      </c>
      <c r="B29" t="s">
        <v>90</v>
      </c>
      <c r="C29" s="101"/>
      <c r="D29" s="16"/>
      <c r="E29" s="8"/>
      <c r="F29" s="99">
        <v>335500.14</v>
      </c>
      <c r="G29" s="7"/>
      <c r="H29" s="73">
        <f t="shared" si="2"/>
        <v>335500.14</v>
      </c>
      <c r="I29" s="5"/>
      <c r="J29" s="80"/>
    </row>
    <row r="30" spans="1:10" ht="14.7" thickBot="1" x14ac:dyDescent="0.6">
      <c r="D30" s="16"/>
      <c r="E30" s="21" t="s">
        <v>26</v>
      </c>
      <c r="F30" s="103">
        <f>SUM(F27:F29)</f>
        <v>616500.14</v>
      </c>
      <c r="G30" s="103">
        <f>SUM(G27:G29)</f>
        <v>0</v>
      </c>
      <c r="H30" s="103">
        <f>SUM(H27:H29)</f>
        <v>616500.14</v>
      </c>
      <c r="I30" s="84"/>
    </row>
    <row r="31" spans="1:10" x14ac:dyDescent="0.55000000000000004">
      <c r="A31" s="3" t="s">
        <v>27</v>
      </c>
      <c r="B31" s="3" t="s">
        <v>27</v>
      </c>
      <c r="D31" s="16"/>
      <c r="E31" s="8"/>
      <c r="F31" s="7"/>
      <c r="G31" s="7"/>
      <c r="H31" s="7">
        <f t="shared" ref="H31" si="3">F31+G31</f>
        <v>0</v>
      </c>
      <c r="I31" s="84"/>
    </row>
    <row r="32" spans="1:10" x14ac:dyDescent="0.55000000000000004">
      <c r="A32" s="63" t="s">
        <v>73</v>
      </c>
      <c r="B32" s="63" t="s">
        <v>129</v>
      </c>
      <c r="D32" s="16"/>
      <c r="E32" s="8"/>
      <c r="F32" s="7">
        <v>36133.910000000003</v>
      </c>
      <c r="G32" s="7"/>
      <c r="H32" s="73">
        <f>F32+G32</f>
        <v>36133.910000000003</v>
      </c>
      <c r="I32" s="84"/>
    </row>
    <row r="33" spans="1:10" ht="14.7" thickBot="1" x14ac:dyDescent="0.6">
      <c r="A33" s="63" t="s">
        <v>74</v>
      </c>
      <c r="B33" t="s">
        <v>104</v>
      </c>
      <c r="D33" s="16"/>
      <c r="E33" s="8"/>
      <c r="F33" s="70">
        <v>147767.6</v>
      </c>
      <c r="G33" s="7"/>
      <c r="H33" s="73">
        <f t="shared" ref="H33" si="4">F33+G33</f>
        <v>147767.6</v>
      </c>
      <c r="I33" s="84"/>
    </row>
    <row r="34" spans="1:10" ht="14.7" thickBot="1" x14ac:dyDescent="0.6">
      <c r="A34" s="63" t="s">
        <v>77</v>
      </c>
      <c r="B34" s="3"/>
      <c r="D34" s="16"/>
      <c r="E34" s="21" t="s">
        <v>28</v>
      </c>
      <c r="F34" s="19">
        <f>SUM(F32:F33)</f>
        <v>183901.51</v>
      </c>
      <c r="G34" s="19">
        <f>SUM(G32:G33)</f>
        <v>0</v>
      </c>
      <c r="H34" s="19">
        <f>SUM(H32:H33)</f>
        <v>183901.51</v>
      </c>
      <c r="I34" s="84"/>
    </row>
    <row r="35" spans="1:10" ht="14.7" thickBot="1" x14ac:dyDescent="0.6">
      <c r="A35" s="63" t="s">
        <v>78</v>
      </c>
      <c r="B35" s="54" t="s">
        <v>34</v>
      </c>
      <c r="C35" s="55"/>
      <c r="D35" s="37"/>
      <c r="E35" s="56"/>
      <c r="F35" s="38">
        <f>SUM(F16+F20+F25+F34+F30)</f>
        <v>2596195.02</v>
      </c>
      <c r="G35" s="38">
        <f>G34</f>
        <v>0</v>
      </c>
      <c r="H35" s="56">
        <f>SUM(H16+H20+H25+H30+H34)</f>
        <v>2596195.0200000005</v>
      </c>
      <c r="I35" s="5"/>
    </row>
    <row r="36" spans="1:10" ht="14.7" thickBot="1" x14ac:dyDescent="0.6">
      <c r="A36" s="65" t="s">
        <v>81</v>
      </c>
      <c r="B36" s="36"/>
      <c r="C36" s="53" t="s">
        <v>29</v>
      </c>
      <c r="D36" s="37"/>
      <c r="E36" s="38"/>
      <c r="F36" s="61" t="s">
        <v>58</v>
      </c>
      <c r="G36" s="61" t="s">
        <v>121</v>
      </c>
      <c r="H36" s="74" t="s">
        <v>16</v>
      </c>
      <c r="I36" s="5"/>
    </row>
    <row r="37" spans="1:10" x14ac:dyDescent="0.55000000000000004">
      <c r="A37" s="65"/>
      <c r="B37" s="3" t="s">
        <v>30</v>
      </c>
      <c r="D37" s="16"/>
      <c r="E37" s="8"/>
      <c r="F37" s="6">
        <v>397522.6</v>
      </c>
      <c r="G37" s="6">
        <v>3954413</v>
      </c>
      <c r="H37" s="22">
        <f>+F37</f>
        <v>397522.6</v>
      </c>
      <c r="I37" s="5"/>
    </row>
    <row r="38" spans="1:10" ht="14.7" thickBot="1" x14ac:dyDescent="0.6">
      <c r="A38" s="3"/>
      <c r="B38" s="2" t="s">
        <v>102</v>
      </c>
      <c r="D38" s="16"/>
      <c r="E38" s="8"/>
      <c r="F38" s="7">
        <f>+F67</f>
        <v>2660650.9399999995</v>
      </c>
      <c r="G38" s="7"/>
      <c r="H38" s="73">
        <f>F38+G38</f>
        <v>2660650.9399999995</v>
      </c>
      <c r="I38" s="5"/>
    </row>
    <row r="39" spans="1:10" ht="14.7" thickBot="1" x14ac:dyDescent="0.6">
      <c r="A39" s="54" t="s">
        <v>34</v>
      </c>
      <c r="B39" s="2" t="s">
        <v>113</v>
      </c>
      <c r="D39" s="16"/>
      <c r="E39" s="8"/>
      <c r="F39" s="7">
        <f>-H35</f>
        <v>-2596195.0200000005</v>
      </c>
      <c r="G39" s="7">
        <v>0</v>
      </c>
      <c r="H39" s="73">
        <v>0</v>
      </c>
      <c r="I39" s="5"/>
      <c r="J39" s="80"/>
    </row>
    <row r="40" spans="1:10" ht="14.7" thickBot="1" x14ac:dyDescent="0.6">
      <c r="A40" s="36"/>
      <c r="B40" s="2" t="s">
        <v>95</v>
      </c>
      <c r="D40" s="16"/>
      <c r="E40" s="8"/>
      <c r="F40" s="7">
        <v>0</v>
      </c>
      <c r="G40" s="7">
        <v>0</v>
      </c>
      <c r="H40" s="73">
        <f>F40+G40</f>
        <v>0</v>
      </c>
      <c r="I40" s="81" t="s">
        <v>110</v>
      </c>
      <c r="J40" s="80"/>
    </row>
    <row r="41" spans="1:10" x14ac:dyDescent="0.55000000000000004">
      <c r="A41" s="3" t="s">
        <v>30</v>
      </c>
      <c r="B41" s="2" t="s">
        <v>114</v>
      </c>
      <c r="D41" s="16"/>
      <c r="E41" s="8"/>
      <c r="F41" s="7">
        <v>0</v>
      </c>
      <c r="G41" s="7">
        <v>0</v>
      </c>
      <c r="H41" s="73">
        <f>+F41</f>
        <v>0</v>
      </c>
      <c r="I41" s="81"/>
    </row>
    <row r="42" spans="1:10" ht="14.7" thickBot="1" x14ac:dyDescent="0.6">
      <c r="A42" s="2" t="s">
        <v>31</v>
      </c>
      <c r="B42" s="5" t="s">
        <v>59</v>
      </c>
      <c r="C42" s="57"/>
      <c r="D42" s="58">
        <v>46054</v>
      </c>
      <c r="E42" s="7"/>
      <c r="F42" s="7">
        <v>0</v>
      </c>
      <c r="G42" s="7">
        <v>662048</v>
      </c>
      <c r="H42" s="73">
        <v>0</v>
      </c>
      <c r="I42" s="5"/>
    </row>
    <row r="43" spans="1:10" ht="14.7" thickBot="1" x14ac:dyDescent="0.6">
      <c r="A43" s="2" t="s">
        <v>32</v>
      </c>
      <c r="B43" s="59"/>
      <c r="C43" s="55"/>
      <c r="D43" s="60" t="s">
        <v>60</v>
      </c>
      <c r="E43" s="38"/>
      <c r="F43" s="62">
        <f>SUM(F37:F42)</f>
        <v>461978.51999999909</v>
      </c>
      <c r="G43" s="62">
        <f>SUM(G37:G42)</f>
        <v>4616461</v>
      </c>
      <c r="H43" s="75">
        <f>SUM(H37:H42)</f>
        <v>3058173.5399999996</v>
      </c>
      <c r="I43" s="5"/>
    </row>
    <row r="44" spans="1:10" ht="14.7" thickBot="1" x14ac:dyDescent="0.6">
      <c r="A44" s="5" t="s">
        <v>59</v>
      </c>
      <c r="B44" t="s">
        <v>33</v>
      </c>
      <c r="D44" s="16"/>
      <c r="E44" s="8"/>
      <c r="F44" s="52"/>
      <c r="G44" s="62">
        <v>0</v>
      </c>
      <c r="H44" s="76">
        <f>-H35</f>
        <v>-2596195.0200000005</v>
      </c>
      <c r="I44" s="5"/>
    </row>
    <row r="45" spans="1:10" ht="14.7" thickBot="1" x14ac:dyDescent="0.6">
      <c r="A45" s="15" t="s">
        <v>61</v>
      </c>
      <c r="B45" s="47"/>
      <c r="C45" s="47"/>
      <c r="D45" s="48"/>
      <c r="E45" s="49"/>
      <c r="F45" s="46"/>
      <c r="G45" s="46"/>
      <c r="H45" s="77">
        <f>SUM(H43+H44)</f>
        <v>461978.51999999909</v>
      </c>
      <c r="I45" s="5"/>
    </row>
    <row r="46" spans="1:10" ht="14.7" thickBot="1" x14ac:dyDescent="0.6">
      <c r="A46" s="59"/>
      <c r="B46" s="50" t="s">
        <v>141</v>
      </c>
      <c r="C46" s="43"/>
      <c r="D46" s="44"/>
      <c r="E46" s="45"/>
      <c r="F46" s="45"/>
      <c r="G46" s="45"/>
      <c r="H46" s="78">
        <f>H45</f>
        <v>461978.51999999909</v>
      </c>
      <c r="I46" s="5"/>
    </row>
    <row r="47" spans="1:10" ht="14.7" thickBot="1" x14ac:dyDescent="0.6">
      <c r="A47" t="s">
        <v>33</v>
      </c>
      <c r="B47" s="13" t="s">
        <v>43</v>
      </c>
      <c r="C47" s="14" t="s">
        <v>62</v>
      </c>
      <c r="D47" s="17" t="s">
        <v>56</v>
      </c>
      <c r="E47" s="51" t="s">
        <v>135</v>
      </c>
      <c r="F47" s="20" t="s">
        <v>44</v>
      </c>
      <c r="G47" s="14" t="s">
        <v>45</v>
      </c>
      <c r="H47" s="51" t="s">
        <v>136</v>
      </c>
      <c r="I47" s="79" t="s">
        <v>57</v>
      </c>
    </row>
    <row r="48" spans="1:10" ht="14.7" thickBot="1" x14ac:dyDescent="0.6">
      <c r="A48" s="47"/>
      <c r="B48" s="11" t="s">
        <v>86</v>
      </c>
      <c r="C48" s="12" t="s">
        <v>93</v>
      </c>
      <c r="D48" s="31">
        <v>5.93</v>
      </c>
      <c r="E48" s="90">
        <v>165211.85</v>
      </c>
      <c r="F48" s="90">
        <v>165211.85</v>
      </c>
      <c r="G48" s="89">
        <f>E48-F48</f>
        <v>0</v>
      </c>
      <c r="H48" s="90">
        <f>E48*1.03</f>
        <v>170168.20550000001</v>
      </c>
      <c r="I48" s="93">
        <f>G48+H48</f>
        <v>170168.20550000001</v>
      </c>
    </row>
    <row r="49" spans="1:9" ht="14.7" thickBot="1" x14ac:dyDescent="0.6">
      <c r="A49" s="50" t="s">
        <v>79</v>
      </c>
      <c r="B49" s="10" t="s">
        <v>87</v>
      </c>
      <c r="C49" s="5" t="s">
        <v>36</v>
      </c>
      <c r="D49" s="32">
        <v>5.9</v>
      </c>
      <c r="E49" s="90">
        <v>154625.51999999999</v>
      </c>
      <c r="F49" s="90">
        <v>154625.51999999999</v>
      </c>
      <c r="G49" s="89">
        <f t="shared" ref="G49:G66" si="5">E49-F49</f>
        <v>0</v>
      </c>
      <c r="H49" s="90">
        <f>E49*1.03</f>
        <v>159264.2856</v>
      </c>
      <c r="I49" s="93">
        <f>G49+H49</f>
        <v>159264.2856</v>
      </c>
    </row>
    <row r="50" spans="1:9" ht="14.7" thickBot="1" x14ac:dyDescent="0.6">
      <c r="A50" s="11" t="s">
        <v>51</v>
      </c>
      <c r="B50" s="10" t="s">
        <v>52</v>
      </c>
      <c r="C50" s="5" t="s">
        <v>130</v>
      </c>
      <c r="D50" s="32">
        <v>3.32</v>
      </c>
      <c r="E50" s="90">
        <v>92579.72</v>
      </c>
      <c r="F50" s="90">
        <v>92579.72</v>
      </c>
      <c r="G50" s="89">
        <f t="shared" si="5"/>
        <v>0</v>
      </c>
      <c r="H50" s="90">
        <f>E50*1.03</f>
        <v>95357.111600000004</v>
      </c>
      <c r="I50" s="93">
        <f t="shared" ref="I50:I66" si="6">G50+H50</f>
        <v>95357.111600000004</v>
      </c>
    </row>
    <row r="51" spans="1:9" ht="14.7" thickBot="1" x14ac:dyDescent="0.6">
      <c r="A51" s="10" t="s">
        <v>37</v>
      </c>
      <c r="B51" s="10" t="s">
        <v>38</v>
      </c>
      <c r="C51" s="5" t="s">
        <v>120</v>
      </c>
      <c r="D51" s="32">
        <v>5.17</v>
      </c>
      <c r="E51" s="90">
        <v>163984.24</v>
      </c>
      <c r="F51" s="90">
        <v>164000</v>
      </c>
      <c r="G51" s="89">
        <f t="shared" si="5"/>
        <v>-15.760000000009313</v>
      </c>
      <c r="H51" s="90">
        <f>E51*1.03</f>
        <v>168903.7672</v>
      </c>
      <c r="I51" s="93">
        <f t="shared" si="6"/>
        <v>168888.00719999999</v>
      </c>
    </row>
    <row r="52" spans="1:9" ht="14.7" thickBot="1" x14ac:dyDescent="0.6">
      <c r="A52" s="10" t="s">
        <v>52</v>
      </c>
      <c r="B52" s="10" t="s">
        <v>46</v>
      </c>
      <c r="C52" s="5" t="s">
        <v>116</v>
      </c>
      <c r="D52" s="32">
        <v>3.91</v>
      </c>
      <c r="E52" s="90">
        <v>87258</v>
      </c>
      <c r="F52" s="90">
        <v>87258</v>
      </c>
      <c r="G52" s="89">
        <f t="shared" si="5"/>
        <v>0</v>
      </c>
      <c r="H52" s="90">
        <f>E52*1.03</f>
        <v>89875.74</v>
      </c>
      <c r="I52" s="93">
        <f t="shared" si="6"/>
        <v>89875.74</v>
      </c>
    </row>
    <row r="53" spans="1:9" ht="14.7" thickBot="1" x14ac:dyDescent="0.6">
      <c r="A53" s="10" t="s">
        <v>38</v>
      </c>
      <c r="B53" s="10" t="s">
        <v>68</v>
      </c>
      <c r="C53" s="64" t="s">
        <v>143</v>
      </c>
      <c r="D53" s="32">
        <v>6.09</v>
      </c>
      <c r="E53" s="90">
        <v>136662.1</v>
      </c>
      <c r="F53" s="90">
        <v>136662.1</v>
      </c>
      <c r="G53" s="89">
        <f t="shared" si="5"/>
        <v>0</v>
      </c>
      <c r="H53" s="90">
        <f t="shared" ref="H53:H66" si="7">E53*1.03</f>
        <v>140761.96300000002</v>
      </c>
      <c r="I53" s="93">
        <f t="shared" si="6"/>
        <v>140761.96300000002</v>
      </c>
    </row>
    <row r="54" spans="1:9" ht="14.7" thickBot="1" x14ac:dyDescent="0.6">
      <c r="A54" s="10" t="s">
        <v>46</v>
      </c>
      <c r="B54" s="10" t="s">
        <v>91</v>
      </c>
      <c r="C54" s="5" t="s">
        <v>47</v>
      </c>
      <c r="D54" s="32">
        <v>7.22</v>
      </c>
      <c r="E54" s="90">
        <v>176088.87</v>
      </c>
      <c r="F54" s="90">
        <v>176088.87</v>
      </c>
      <c r="G54" s="89">
        <f t="shared" si="5"/>
        <v>0</v>
      </c>
      <c r="H54" s="90">
        <f t="shared" si="7"/>
        <v>181371.5361</v>
      </c>
      <c r="I54" s="93">
        <f t="shared" si="6"/>
        <v>181371.5361</v>
      </c>
    </row>
    <row r="55" spans="1:9" ht="14.7" thickBot="1" x14ac:dyDescent="0.6">
      <c r="A55" s="10" t="s">
        <v>68</v>
      </c>
      <c r="B55" s="10" t="s">
        <v>65</v>
      </c>
      <c r="C55" s="5" t="s">
        <v>117</v>
      </c>
      <c r="D55" s="32">
        <v>6.01</v>
      </c>
      <c r="E55" s="90">
        <v>178502.16</v>
      </c>
      <c r="F55" s="90">
        <v>178502.16</v>
      </c>
      <c r="G55" s="89">
        <f t="shared" si="5"/>
        <v>0</v>
      </c>
      <c r="H55" s="90">
        <f t="shared" si="7"/>
        <v>183857.2248</v>
      </c>
      <c r="I55" s="93">
        <f t="shared" si="6"/>
        <v>183857.2248</v>
      </c>
    </row>
    <row r="56" spans="1:9" ht="14.7" thickBot="1" x14ac:dyDescent="0.6">
      <c r="A56" s="10" t="s">
        <v>66</v>
      </c>
      <c r="B56" s="10" t="s">
        <v>48</v>
      </c>
      <c r="C56" s="5" t="s">
        <v>47</v>
      </c>
      <c r="D56" s="32">
        <v>5.22</v>
      </c>
      <c r="E56" s="90">
        <v>148707.87</v>
      </c>
      <c r="F56" s="90">
        <v>148707.87</v>
      </c>
      <c r="G56" s="89">
        <f t="shared" si="5"/>
        <v>0</v>
      </c>
      <c r="H56" s="90">
        <f t="shared" si="7"/>
        <v>153169.1061</v>
      </c>
      <c r="I56" s="93">
        <f t="shared" si="6"/>
        <v>153169.1061</v>
      </c>
    </row>
    <row r="57" spans="1:9" ht="14.7" thickBot="1" x14ac:dyDescent="0.6">
      <c r="A57" s="10" t="s">
        <v>65</v>
      </c>
      <c r="B57" s="10" t="s">
        <v>54</v>
      </c>
      <c r="C57" s="5" t="s">
        <v>50</v>
      </c>
      <c r="D57" s="32">
        <v>7.09</v>
      </c>
      <c r="E57" s="90">
        <v>114492.82</v>
      </c>
      <c r="F57" s="90">
        <v>114492.82</v>
      </c>
      <c r="G57" s="89">
        <f t="shared" si="5"/>
        <v>0</v>
      </c>
      <c r="H57" s="90">
        <f>E57*1.03</f>
        <v>117927.60460000001</v>
      </c>
      <c r="I57" s="93">
        <f t="shared" si="6"/>
        <v>117927.60460000001</v>
      </c>
    </row>
    <row r="58" spans="1:9" ht="14.7" thickBot="1" x14ac:dyDescent="0.6">
      <c r="A58" s="10" t="s">
        <v>48</v>
      </c>
      <c r="B58" s="10" t="s">
        <v>39</v>
      </c>
      <c r="C58" s="5" t="s">
        <v>92</v>
      </c>
      <c r="D58" s="32">
        <v>2.63</v>
      </c>
      <c r="E58" s="90">
        <v>71337.56</v>
      </c>
      <c r="F58" s="90">
        <v>71337.56</v>
      </c>
      <c r="G58" s="89">
        <f t="shared" si="5"/>
        <v>0</v>
      </c>
      <c r="H58" s="90">
        <f t="shared" si="7"/>
        <v>73477.686799999996</v>
      </c>
      <c r="I58" s="93">
        <f t="shared" si="6"/>
        <v>73477.686799999996</v>
      </c>
    </row>
    <row r="59" spans="1:9" ht="14.7" thickBot="1" x14ac:dyDescent="0.6">
      <c r="A59" s="10" t="s">
        <v>54</v>
      </c>
      <c r="B59" s="10" t="s">
        <v>55</v>
      </c>
      <c r="C59" s="5" t="s">
        <v>35</v>
      </c>
      <c r="D59" s="32">
        <v>5.98</v>
      </c>
      <c r="E59" s="90">
        <v>165148.13</v>
      </c>
      <c r="F59" s="90">
        <v>165149</v>
      </c>
      <c r="G59" s="89">
        <f t="shared" si="5"/>
        <v>-0.86999999999534339</v>
      </c>
      <c r="H59" s="90">
        <f t="shared" si="7"/>
        <v>170102.57390000002</v>
      </c>
      <c r="I59" s="93">
        <f t="shared" si="6"/>
        <v>170101.70390000002</v>
      </c>
    </row>
    <row r="60" spans="1:9" ht="14.7" thickBot="1" x14ac:dyDescent="0.6">
      <c r="A60" s="10" t="s">
        <v>39</v>
      </c>
      <c r="B60" s="10" t="s">
        <v>64</v>
      </c>
      <c r="C60" s="5" t="s">
        <v>88</v>
      </c>
      <c r="D60" s="32">
        <v>5.74</v>
      </c>
      <c r="E60" s="90">
        <v>168711.31</v>
      </c>
      <c r="F60" s="90">
        <v>168711.31</v>
      </c>
      <c r="G60" s="89">
        <f t="shared" si="5"/>
        <v>0</v>
      </c>
      <c r="H60" s="90">
        <f t="shared" si="7"/>
        <v>173772.64929999999</v>
      </c>
      <c r="I60" s="93">
        <f t="shared" si="6"/>
        <v>173772.64929999999</v>
      </c>
    </row>
    <row r="61" spans="1:9" ht="14.7" thickBot="1" x14ac:dyDescent="0.6">
      <c r="A61" s="10" t="s">
        <v>55</v>
      </c>
      <c r="B61" s="10" t="s">
        <v>71</v>
      </c>
      <c r="C61" s="5" t="s">
        <v>122</v>
      </c>
      <c r="D61" s="32">
        <v>6.39</v>
      </c>
      <c r="E61" s="90">
        <v>169935.62</v>
      </c>
      <c r="F61" s="90">
        <v>169935.62</v>
      </c>
      <c r="G61" s="89">
        <f t="shared" si="5"/>
        <v>0</v>
      </c>
      <c r="H61" s="90">
        <f t="shared" si="7"/>
        <v>175033.68859999999</v>
      </c>
      <c r="I61" s="93">
        <f t="shared" si="6"/>
        <v>175033.68859999999</v>
      </c>
    </row>
    <row r="62" spans="1:9" ht="14.7" thickBot="1" x14ac:dyDescent="0.6">
      <c r="B62" s="10" t="s">
        <v>40</v>
      </c>
      <c r="C62" s="5" t="s">
        <v>67</v>
      </c>
      <c r="D62" s="32">
        <v>5.21</v>
      </c>
      <c r="E62" s="90">
        <v>143095.62</v>
      </c>
      <c r="F62" s="90">
        <v>143100</v>
      </c>
      <c r="G62" s="89">
        <f t="shared" si="5"/>
        <v>-4.3800000000046566</v>
      </c>
      <c r="H62" s="90">
        <f t="shared" si="7"/>
        <v>147388.48860000001</v>
      </c>
      <c r="I62" s="93">
        <f t="shared" si="6"/>
        <v>147384.10860000001</v>
      </c>
    </row>
    <row r="63" spans="1:9" ht="14.7" thickBot="1" x14ac:dyDescent="0.6">
      <c r="B63" s="10" t="s">
        <v>89</v>
      </c>
      <c r="C63" s="95" t="s">
        <v>107</v>
      </c>
      <c r="D63" s="32">
        <v>5.22</v>
      </c>
      <c r="E63" s="90">
        <v>147713.78</v>
      </c>
      <c r="F63" s="90">
        <v>147713.78</v>
      </c>
      <c r="G63" s="89">
        <f t="shared" si="5"/>
        <v>0</v>
      </c>
      <c r="H63" s="90">
        <f t="shared" si="7"/>
        <v>152145.19339999999</v>
      </c>
      <c r="I63" s="93">
        <f t="shared" si="6"/>
        <v>152145.19339999999</v>
      </c>
    </row>
    <row r="64" spans="1:9" ht="14.7" thickBot="1" x14ac:dyDescent="0.6">
      <c r="B64" s="10" t="s">
        <v>41</v>
      </c>
      <c r="C64" s="95" t="s">
        <v>106</v>
      </c>
      <c r="D64" s="32">
        <v>2.61</v>
      </c>
      <c r="E64" s="90">
        <v>73501.72</v>
      </c>
      <c r="F64" s="90">
        <v>73502</v>
      </c>
      <c r="G64" s="89">
        <f t="shared" si="5"/>
        <v>-0.27999999999883585</v>
      </c>
      <c r="H64" s="90">
        <f t="shared" si="7"/>
        <v>75706.771600000007</v>
      </c>
      <c r="I64" s="93">
        <f t="shared" si="6"/>
        <v>75706.491600000008</v>
      </c>
    </row>
    <row r="65" spans="2:10" ht="14.7" thickBot="1" x14ac:dyDescent="0.6">
      <c r="B65" s="10" t="s">
        <v>42</v>
      </c>
      <c r="C65" s="5" t="s">
        <v>49</v>
      </c>
      <c r="D65" s="32">
        <v>5.45</v>
      </c>
      <c r="E65" s="90">
        <v>151536.38</v>
      </c>
      <c r="F65" s="90">
        <v>151536.38</v>
      </c>
      <c r="G65" s="89">
        <f t="shared" si="5"/>
        <v>0</v>
      </c>
      <c r="H65" s="90">
        <f t="shared" si="7"/>
        <v>156082.47140000001</v>
      </c>
      <c r="I65" s="93">
        <f t="shared" si="6"/>
        <v>156082.47140000001</v>
      </c>
    </row>
    <row r="66" spans="2:10" x14ac:dyDescent="0.55000000000000004">
      <c r="B66" s="10" t="s">
        <v>53</v>
      </c>
      <c r="C66" s="5" t="s">
        <v>131</v>
      </c>
      <c r="D66" s="32">
        <v>4.91</v>
      </c>
      <c r="E66" s="90">
        <v>151536.38</v>
      </c>
      <c r="F66" s="90">
        <v>151536.38</v>
      </c>
      <c r="G66" s="89">
        <f t="shared" si="5"/>
        <v>0</v>
      </c>
      <c r="H66" s="90">
        <f t="shared" si="7"/>
        <v>156082.47140000001</v>
      </c>
      <c r="I66" s="93">
        <f t="shared" si="6"/>
        <v>156082.47140000001</v>
      </c>
    </row>
    <row r="67" spans="2:10" x14ac:dyDescent="0.55000000000000004">
      <c r="B67" s="24"/>
      <c r="C67" s="25"/>
      <c r="D67" s="26">
        <f t="shared" ref="D67" si="8">SUM(D48:D66)</f>
        <v>99.999999999999986</v>
      </c>
      <c r="E67" s="26">
        <f t="shared" ref="E67:I67" si="9">SUM(E48:E66)</f>
        <v>2660629.6500000004</v>
      </c>
      <c r="F67" s="26">
        <f t="shared" si="9"/>
        <v>2660650.9399999995</v>
      </c>
      <c r="G67" s="26">
        <f>SUM(G48:G66)</f>
        <v>-21.290000000008149</v>
      </c>
      <c r="H67" s="26">
        <f t="shared" si="9"/>
        <v>2740448.5395000004</v>
      </c>
      <c r="I67" s="94">
        <f t="shared" si="9"/>
        <v>2740427.2495000004</v>
      </c>
    </row>
    <row r="68" spans="2:10" ht="20.399999999999999" x14ac:dyDescent="0.75">
      <c r="C68" s="66" t="s">
        <v>140</v>
      </c>
      <c r="D68" s="67"/>
      <c r="E68" s="68"/>
      <c r="F68" s="68"/>
      <c r="G68" s="69"/>
      <c r="H68" s="8"/>
      <c r="I68" s="2"/>
    </row>
    <row r="69" spans="2:10" x14ac:dyDescent="0.55000000000000004">
      <c r="C69" s="88" t="s">
        <v>94</v>
      </c>
      <c r="D69" s="16"/>
      <c r="E69" s="8"/>
      <c r="F69" s="8"/>
      <c r="G69" s="2"/>
      <c r="H69" s="8"/>
      <c r="I69" s="2"/>
      <c r="J69" s="1"/>
    </row>
    <row r="70" spans="2:10" ht="15.6" x14ac:dyDescent="0.6">
      <c r="B70" s="42" t="s">
        <v>103</v>
      </c>
      <c r="C70" s="1"/>
      <c r="D70" s="92"/>
      <c r="E70" s="34"/>
      <c r="F70" s="34"/>
      <c r="G70" s="1"/>
      <c r="H70" s="34"/>
      <c r="I70" s="1"/>
    </row>
    <row r="71" spans="2:10" x14ac:dyDescent="0.55000000000000004">
      <c r="B71" s="1" t="s">
        <v>111</v>
      </c>
      <c r="C71" s="1"/>
      <c r="D71" s="96"/>
      <c r="E71" s="97"/>
      <c r="F71" s="97"/>
      <c r="G71" s="3"/>
      <c r="H71" s="97"/>
      <c r="I71" s="3"/>
    </row>
    <row r="72" spans="2:10" x14ac:dyDescent="0.55000000000000004">
      <c r="D72" s="16"/>
      <c r="E72" s="8"/>
      <c r="F72" s="8"/>
      <c r="G72" s="2"/>
      <c r="H72" s="8"/>
      <c r="I72" s="2"/>
    </row>
    <row r="73" spans="2:10" ht="15.6" x14ac:dyDescent="0.6">
      <c r="B73" s="42" t="s">
        <v>115</v>
      </c>
      <c r="C73" s="42"/>
      <c r="D73" s="39"/>
      <c r="E73" s="40"/>
      <c r="F73" s="40"/>
      <c r="G73" s="42"/>
      <c r="H73" s="40"/>
      <c r="I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8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I73"/>
  <sheetViews>
    <sheetView workbookViewId="0">
      <selection activeCell="I7" sqref="I7"/>
    </sheetView>
  </sheetViews>
  <sheetFormatPr baseColWidth="10" defaultColWidth="18.26171875" defaultRowHeight="14.4" x14ac:dyDescent="0.55000000000000004"/>
  <cols>
    <col min="1" max="1" width="13" customWidth="1"/>
    <col min="2" max="2" width="15.68359375" customWidth="1"/>
    <col min="3" max="3" width="10" customWidth="1"/>
    <col min="4" max="4" width="15.68359375" customWidth="1"/>
    <col min="5" max="5" width="13" customWidth="1"/>
    <col min="6" max="6" width="13.26171875" customWidth="1"/>
    <col min="7" max="7" width="13.83984375" customWidth="1"/>
    <col min="8" max="8" width="15.83984375" customWidth="1"/>
  </cols>
  <sheetData>
    <row r="1" spans="1:8" ht="18.3" x14ac:dyDescent="0.7">
      <c r="B1" s="72" t="s">
        <v>137</v>
      </c>
      <c r="C1" s="71"/>
      <c r="D1" s="8"/>
      <c r="E1" s="8"/>
      <c r="F1" s="8"/>
      <c r="G1" s="8"/>
      <c r="H1" s="15"/>
    </row>
    <row r="2" spans="1:8" ht="15.6" x14ac:dyDescent="0.6">
      <c r="B2" s="42" t="s">
        <v>138</v>
      </c>
      <c r="C2" s="16"/>
      <c r="D2" s="8"/>
      <c r="E2" s="8"/>
      <c r="F2" s="8"/>
      <c r="G2" s="8"/>
      <c r="H2" s="23"/>
    </row>
    <row r="3" spans="1:8" x14ac:dyDescent="0.55000000000000004">
      <c r="B3" s="1"/>
      <c r="C3" s="16"/>
      <c r="D3" s="8"/>
      <c r="E3" s="8"/>
      <c r="F3" s="8"/>
      <c r="G3" s="8"/>
      <c r="H3" s="23"/>
    </row>
    <row r="4" spans="1:8" x14ac:dyDescent="0.55000000000000004">
      <c r="A4" s="1" t="s">
        <v>0</v>
      </c>
      <c r="B4" s="1"/>
      <c r="C4" s="16"/>
      <c r="D4" s="8"/>
      <c r="E4" s="8"/>
      <c r="F4" s="34" t="s">
        <v>3</v>
      </c>
      <c r="G4" s="35"/>
      <c r="H4" s="15"/>
    </row>
    <row r="5" spans="1:8" x14ac:dyDescent="0.55000000000000004">
      <c r="A5" t="s">
        <v>1</v>
      </c>
      <c r="C5" s="16"/>
      <c r="D5" s="8"/>
      <c r="E5" s="8"/>
      <c r="F5" s="35" t="s">
        <v>4</v>
      </c>
      <c r="G5" s="35"/>
      <c r="H5" s="2"/>
    </row>
    <row r="6" spans="1:8" x14ac:dyDescent="0.55000000000000004">
      <c r="A6" t="s">
        <v>2</v>
      </c>
      <c r="C6" s="16"/>
      <c r="D6" s="8"/>
      <c r="E6" s="8"/>
      <c r="F6" s="35" t="s">
        <v>5</v>
      </c>
      <c r="G6" s="35"/>
      <c r="H6" s="2"/>
    </row>
    <row r="7" spans="1:8" x14ac:dyDescent="0.55000000000000004">
      <c r="A7" s="91">
        <v>1168722530</v>
      </c>
      <c r="C7" s="16"/>
      <c r="D7" s="8"/>
      <c r="E7" s="8"/>
      <c r="F7" s="8"/>
      <c r="G7" s="8"/>
      <c r="H7" s="2"/>
    </row>
    <row r="8" spans="1:8" ht="15.6" x14ac:dyDescent="0.6">
      <c r="C8" s="39"/>
      <c r="D8" s="40" t="s">
        <v>101</v>
      </c>
      <c r="E8" s="41"/>
      <c r="F8" s="8"/>
      <c r="G8" s="8"/>
      <c r="H8" s="2"/>
    </row>
    <row r="9" spans="1:8" x14ac:dyDescent="0.55000000000000004">
      <c r="A9" s="1" t="s">
        <v>7</v>
      </c>
      <c r="B9" s="1"/>
      <c r="C9" s="16"/>
      <c r="D9" s="102">
        <v>156082.47</v>
      </c>
      <c r="E9" s="8"/>
      <c r="F9" s="8"/>
      <c r="G9" s="8"/>
      <c r="H9" s="2"/>
    </row>
    <row r="10" spans="1:8" x14ac:dyDescent="0.55000000000000004">
      <c r="A10" t="s">
        <v>8</v>
      </c>
      <c r="C10" s="16"/>
      <c r="D10" s="8"/>
      <c r="E10" s="8"/>
      <c r="F10" s="8"/>
      <c r="G10" s="8"/>
      <c r="H10" s="2"/>
    </row>
    <row r="11" spans="1:8" x14ac:dyDescent="0.55000000000000004">
      <c r="A11" t="s">
        <v>11</v>
      </c>
      <c r="C11" s="16"/>
      <c r="D11" s="8"/>
      <c r="E11" s="8"/>
      <c r="F11" s="8"/>
      <c r="G11" s="8"/>
      <c r="H11" s="2"/>
    </row>
    <row r="12" spans="1:8" ht="15.9" thickBot="1" x14ac:dyDescent="0.65">
      <c r="A12" s="1" t="s">
        <v>144</v>
      </c>
      <c r="C12" s="16"/>
      <c r="D12" s="8"/>
      <c r="E12" s="8"/>
      <c r="F12" s="8"/>
      <c r="G12" s="40">
        <f>SUM(D9:D10)</f>
        <v>156082.47</v>
      </c>
      <c r="H12" s="2"/>
    </row>
    <row r="13" spans="1:8" ht="14.7" thickBot="1" x14ac:dyDescent="0.6">
      <c r="A13" s="27"/>
      <c r="B13" s="28"/>
      <c r="C13" s="29" t="s">
        <v>12</v>
      </c>
      <c r="D13" s="30"/>
      <c r="E13" s="85" t="s">
        <v>15</v>
      </c>
      <c r="F13" s="85" t="s">
        <v>70</v>
      </c>
      <c r="G13" s="86" t="s">
        <v>16</v>
      </c>
      <c r="H13" s="82" t="s">
        <v>85</v>
      </c>
    </row>
    <row r="14" spans="1:8" x14ac:dyDescent="0.55000000000000004">
      <c r="A14" s="3" t="s">
        <v>14</v>
      </c>
      <c r="C14" s="16"/>
      <c r="D14" s="8"/>
      <c r="E14" s="7"/>
      <c r="F14" s="7"/>
      <c r="G14" s="7"/>
      <c r="H14" s="83"/>
    </row>
    <row r="15" spans="1:8" ht="14.7" thickBot="1" x14ac:dyDescent="0.6">
      <c r="A15" t="s">
        <v>134</v>
      </c>
      <c r="B15" s="2"/>
      <c r="C15" s="2"/>
      <c r="D15" s="8"/>
      <c r="E15" s="70">
        <v>754089</v>
      </c>
      <c r="F15" s="7"/>
      <c r="G15" s="7">
        <f>E15</f>
        <v>754089</v>
      </c>
      <c r="H15" s="84"/>
    </row>
    <row r="16" spans="1:8" ht="14.7" thickBot="1" x14ac:dyDescent="0.6">
      <c r="C16" s="16"/>
      <c r="D16" s="21" t="s">
        <v>20</v>
      </c>
      <c r="E16" s="9">
        <f>SUM(E15:E15)</f>
        <v>754089</v>
      </c>
      <c r="F16" s="9">
        <f>SUM(F15:F15)</f>
        <v>0</v>
      </c>
      <c r="G16" s="9">
        <f>SUM(G15:G15)</f>
        <v>754089</v>
      </c>
      <c r="H16" s="83"/>
    </row>
    <row r="17" spans="1:9" x14ac:dyDescent="0.55000000000000004">
      <c r="A17" s="3" t="s">
        <v>18</v>
      </c>
      <c r="C17" s="16"/>
      <c r="D17" s="8"/>
      <c r="E17" s="6"/>
      <c r="F17" s="6"/>
      <c r="G17" s="22"/>
      <c r="H17" s="5"/>
    </row>
    <row r="18" spans="1:9" x14ac:dyDescent="0.55000000000000004">
      <c r="A18" t="s">
        <v>17</v>
      </c>
      <c r="C18" s="16"/>
      <c r="D18" s="8"/>
      <c r="E18" s="70">
        <v>91219.13</v>
      </c>
      <c r="F18" s="7"/>
      <c r="G18" s="73">
        <f>E18</f>
        <v>91219.13</v>
      </c>
      <c r="H18" s="5"/>
    </row>
    <row r="19" spans="1:9" ht="14.7" thickBot="1" x14ac:dyDescent="0.6">
      <c r="A19" t="s">
        <v>109</v>
      </c>
      <c r="C19" s="16"/>
      <c r="D19" s="8"/>
      <c r="E19" s="99">
        <v>599664.24</v>
      </c>
      <c r="F19" s="7"/>
      <c r="G19" s="7">
        <f t="shared" ref="G19" si="0">E19</f>
        <v>599664.24</v>
      </c>
      <c r="H19" s="5"/>
    </row>
    <row r="20" spans="1:9" ht="14.7" thickBot="1" x14ac:dyDescent="0.6">
      <c r="C20" s="16"/>
      <c r="D20" s="21" t="s">
        <v>21</v>
      </c>
      <c r="E20" s="100">
        <f>SUM(E18:E19)</f>
        <v>690883.37</v>
      </c>
      <c r="F20" s="100">
        <f>SUM(F18:F19)</f>
        <v>0</v>
      </c>
      <c r="G20" s="100">
        <f>SUM(G18:G19)</f>
        <v>690883.37</v>
      </c>
      <c r="H20" s="5"/>
    </row>
    <row r="21" spans="1:9" x14ac:dyDescent="0.55000000000000004">
      <c r="A21" s="3" t="s">
        <v>19</v>
      </c>
      <c r="B21" s="2"/>
      <c r="C21" s="16"/>
      <c r="D21" s="8"/>
      <c r="E21" s="6"/>
      <c r="F21" s="6"/>
      <c r="G21" s="22">
        <f t="shared" ref="G21:G24" si="1">E21+F21</f>
        <v>0</v>
      </c>
      <c r="H21" s="5"/>
    </row>
    <row r="22" spans="1:9" x14ac:dyDescent="0.55000000000000004">
      <c r="A22" t="s">
        <v>22</v>
      </c>
      <c r="C22" s="16"/>
      <c r="D22" s="8"/>
      <c r="E22" s="70">
        <v>350000</v>
      </c>
      <c r="F22" s="7"/>
      <c r="G22" s="73">
        <f t="shared" si="1"/>
        <v>350000</v>
      </c>
      <c r="H22" s="5"/>
    </row>
    <row r="23" spans="1:9" x14ac:dyDescent="0.55000000000000004">
      <c r="A23" t="s">
        <v>105</v>
      </c>
      <c r="C23" s="16"/>
      <c r="D23" s="8"/>
      <c r="E23" s="70">
        <v>821</v>
      </c>
      <c r="F23" s="7"/>
      <c r="G23" s="73">
        <f t="shared" si="1"/>
        <v>821</v>
      </c>
      <c r="H23" s="5"/>
    </row>
    <row r="24" spans="1:9" ht="14.7" thickBot="1" x14ac:dyDescent="0.6">
      <c r="A24" t="s">
        <v>82</v>
      </c>
      <c r="C24" s="16"/>
      <c r="D24" s="8"/>
      <c r="E24" s="70">
        <v>0</v>
      </c>
      <c r="F24" s="7"/>
      <c r="G24" s="73">
        <f t="shared" si="1"/>
        <v>0</v>
      </c>
      <c r="H24" s="5"/>
    </row>
    <row r="25" spans="1:9" ht="14.7" thickBot="1" x14ac:dyDescent="0.6">
      <c r="C25" s="16"/>
      <c r="D25" s="21" t="s">
        <v>24</v>
      </c>
      <c r="E25" s="9">
        <f>SUM(E22:E24)</f>
        <v>350821</v>
      </c>
      <c r="F25" s="9"/>
      <c r="G25" s="9">
        <f>SUM(G22:G24)</f>
        <v>350821</v>
      </c>
      <c r="H25" s="5"/>
    </row>
    <row r="26" spans="1:9" x14ac:dyDescent="0.55000000000000004">
      <c r="A26" s="3" t="s">
        <v>25</v>
      </c>
      <c r="C26" s="16"/>
      <c r="D26" s="8"/>
      <c r="E26" s="6"/>
      <c r="F26" s="6"/>
      <c r="G26" s="22">
        <f t="shared" ref="G26:G29" si="2">E26+F26</f>
        <v>0</v>
      </c>
      <c r="H26" s="5"/>
    </row>
    <row r="27" spans="1:9" x14ac:dyDescent="0.55000000000000004">
      <c r="A27" t="s">
        <v>84</v>
      </c>
      <c r="C27" s="16"/>
      <c r="D27" s="8"/>
      <c r="E27" s="70">
        <v>66000</v>
      </c>
      <c r="F27" s="7"/>
      <c r="G27" s="73">
        <f t="shared" si="2"/>
        <v>66000</v>
      </c>
      <c r="H27" s="5"/>
    </row>
    <row r="28" spans="1:9" x14ac:dyDescent="0.55000000000000004">
      <c r="A28" t="s">
        <v>139</v>
      </c>
      <c r="C28" s="16"/>
      <c r="D28" s="8"/>
      <c r="E28" s="70">
        <v>215000</v>
      </c>
      <c r="F28" s="7"/>
      <c r="G28" s="73">
        <f t="shared" si="2"/>
        <v>215000</v>
      </c>
      <c r="H28" s="5"/>
    </row>
    <row r="29" spans="1:9" ht="14.7" thickBot="1" x14ac:dyDescent="0.6">
      <c r="A29" t="s">
        <v>90</v>
      </c>
      <c r="B29" s="101"/>
      <c r="C29" s="16"/>
      <c r="D29" s="8"/>
      <c r="E29" s="99">
        <v>335500.14</v>
      </c>
      <c r="F29" s="7"/>
      <c r="G29" s="73">
        <f t="shared" si="2"/>
        <v>335500.14</v>
      </c>
      <c r="H29" s="5"/>
      <c r="I29" s="80"/>
    </row>
    <row r="30" spans="1:9" ht="14.7" thickBot="1" x14ac:dyDescent="0.6">
      <c r="C30" s="16"/>
      <c r="D30" s="21" t="s">
        <v>26</v>
      </c>
      <c r="E30" s="103">
        <f>SUM(E27:E29)</f>
        <v>616500.14</v>
      </c>
      <c r="F30" s="103">
        <f>SUM(F27:F29)</f>
        <v>0</v>
      </c>
      <c r="G30" s="103">
        <f>SUM(G27:G29)</f>
        <v>616500.14</v>
      </c>
      <c r="H30" s="84"/>
    </row>
    <row r="31" spans="1:9" x14ac:dyDescent="0.55000000000000004">
      <c r="A31" s="3" t="s">
        <v>27</v>
      </c>
      <c r="C31" s="16"/>
      <c r="D31" s="8"/>
      <c r="E31" s="7"/>
      <c r="F31" s="7"/>
      <c r="G31" s="7">
        <f t="shared" ref="G31" si="3">E31+F31</f>
        <v>0</v>
      </c>
      <c r="H31" s="84"/>
    </row>
    <row r="32" spans="1:9" x14ac:dyDescent="0.55000000000000004">
      <c r="A32" s="63" t="s">
        <v>129</v>
      </c>
      <c r="C32" s="16"/>
      <c r="D32" s="8"/>
      <c r="E32" s="7">
        <v>36133.910000000003</v>
      </c>
      <c r="F32" s="7"/>
      <c r="G32" s="73">
        <f>E32+F32</f>
        <v>36133.910000000003</v>
      </c>
      <c r="H32" s="84"/>
    </row>
    <row r="33" spans="1:9" ht="14.7" thickBot="1" x14ac:dyDescent="0.6">
      <c r="A33" t="s">
        <v>104</v>
      </c>
      <c r="C33" s="16"/>
      <c r="D33" s="8"/>
      <c r="E33" s="70">
        <v>147767.6</v>
      </c>
      <c r="F33" s="7"/>
      <c r="G33" s="73">
        <f t="shared" ref="G33" si="4">E33+F33</f>
        <v>147767.6</v>
      </c>
      <c r="H33" s="84"/>
    </row>
    <row r="34" spans="1:9" ht="14.7" thickBot="1" x14ac:dyDescent="0.6">
      <c r="A34" s="3"/>
      <c r="C34" s="16"/>
      <c r="D34" s="21" t="s">
        <v>28</v>
      </c>
      <c r="E34" s="19">
        <f>SUM(E32:E33)</f>
        <v>183901.51</v>
      </c>
      <c r="F34" s="19">
        <f>SUM(F32:F33)</f>
        <v>0</v>
      </c>
      <c r="G34" s="19">
        <f>SUM(G32:G33)</f>
        <v>183901.51</v>
      </c>
      <c r="H34" s="84"/>
    </row>
    <row r="35" spans="1:9" ht="14.7" thickBot="1" x14ac:dyDescent="0.6">
      <c r="A35" s="54" t="s">
        <v>34</v>
      </c>
      <c r="B35" s="55"/>
      <c r="C35" s="37"/>
      <c r="D35" s="56"/>
      <c r="E35" s="38">
        <f>SUM(E16+E20+E25+E34+E30)</f>
        <v>2596195.02</v>
      </c>
      <c r="F35" s="38">
        <f>F34</f>
        <v>0</v>
      </c>
      <c r="G35" s="56">
        <f>SUM(G16+G20+G25+G30+G34)</f>
        <v>2596195.0200000005</v>
      </c>
      <c r="H35" s="5"/>
    </row>
    <row r="36" spans="1:9" ht="14.7" thickBot="1" x14ac:dyDescent="0.6">
      <c r="A36" s="36"/>
      <c r="B36" s="53" t="s">
        <v>29</v>
      </c>
      <c r="C36" s="37"/>
      <c r="D36" s="38"/>
      <c r="E36" s="61" t="s">
        <v>58</v>
      </c>
      <c r="F36" s="61" t="s">
        <v>121</v>
      </c>
      <c r="G36" s="74" t="s">
        <v>16</v>
      </c>
      <c r="H36" s="5"/>
    </row>
    <row r="37" spans="1:9" x14ac:dyDescent="0.55000000000000004">
      <c r="A37" s="3" t="s">
        <v>30</v>
      </c>
      <c r="C37" s="16"/>
      <c r="D37" s="8"/>
      <c r="E37" s="6">
        <v>397522.6</v>
      </c>
      <c r="F37" s="6">
        <v>3954413</v>
      </c>
      <c r="G37" s="22">
        <f>+E37</f>
        <v>397522.6</v>
      </c>
      <c r="H37" s="5"/>
    </row>
    <row r="38" spans="1:9" x14ac:dyDescent="0.55000000000000004">
      <c r="A38" s="2" t="s">
        <v>102</v>
      </c>
      <c r="C38" s="16"/>
      <c r="D38" s="8"/>
      <c r="E38" s="7">
        <f>+E67</f>
        <v>2660650.9399999995</v>
      </c>
      <c r="F38" s="7"/>
      <c r="G38" s="73">
        <f>E38+F38</f>
        <v>2660650.9399999995</v>
      </c>
      <c r="H38" s="5"/>
    </row>
    <row r="39" spans="1:9" x14ac:dyDescent="0.55000000000000004">
      <c r="A39" s="2" t="s">
        <v>113</v>
      </c>
      <c r="C39" s="16"/>
      <c r="D39" s="8"/>
      <c r="E39" s="7">
        <f>-G35</f>
        <v>-2596195.0200000005</v>
      </c>
      <c r="F39" s="7">
        <v>0</v>
      </c>
      <c r="G39" s="73">
        <v>0</v>
      </c>
      <c r="H39" s="5"/>
      <c r="I39" s="80"/>
    </row>
    <row r="40" spans="1:9" x14ac:dyDescent="0.55000000000000004">
      <c r="A40" s="2" t="s">
        <v>95</v>
      </c>
      <c r="C40" s="16"/>
      <c r="D40" s="8"/>
      <c r="E40" s="7">
        <v>0</v>
      </c>
      <c r="F40" s="7">
        <v>0</v>
      </c>
      <c r="G40" s="73">
        <f>E40+F40</f>
        <v>0</v>
      </c>
      <c r="H40" s="81" t="s">
        <v>110</v>
      </c>
      <c r="I40" s="80"/>
    </row>
    <row r="41" spans="1:9" x14ac:dyDescent="0.55000000000000004">
      <c r="A41" s="2" t="s">
        <v>114</v>
      </c>
      <c r="C41" s="16"/>
      <c r="D41" s="8"/>
      <c r="E41" s="7">
        <v>0</v>
      </c>
      <c r="F41" s="7">
        <v>0</v>
      </c>
      <c r="G41" s="73">
        <f>+E41</f>
        <v>0</v>
      </c>
      <c r="H41" s="81"/>
    </row>
    <row r="42" spans="1:9" ht="14.7" thickBot="1" x14ac:dyDescent="0.6">
      <c r="A42" s="5" t="s">
        <v>59</v>
      </c>
      <c r="B42" s="57"/>
      <c r="C42" s="58">
        <v>46054</v>
      </c>
      <c r="D42" s="7"/>
      <c r="E42" s="7">
        <v>0</v>
      </c>
      <c r="F42" s="7">
        <v>662048</v>
      </c>
      <c r="G42" s="73">
        <v>0</v>
      </c>
      <c r="H42" s="5"/>
    </row>
    <row r="43" spans="1:9" ht="14.7" thickBot="1" x14ac:dyDescent="0.6">
      <c r="A43" s="59"/>
      <c r="B43" s="55"/>
      <c r="C43" s="60" t="s">
        <v>60</v>
      </c>
      <c r="D43" s="38"/>
      <c r="E43" s="62">
        <f>SUM(E37:E42)</f>
        <v>461978.51999999909</v>
      </c>
      <c r="F43" s="62">
        <f>SUM(F37:F42)</f>
        <v>4616461</v>
      </c>
      <c r="G43" s="75">
        <f>SUM(G37:G42)</f>
        <v>3058173.5399999996</v>
      </c>
      <c r="H43" s="5"/>
    </row>
    <row r="44" spans="1:9" ht="14.7" thickBot="1" x14ac:dyDescent="0.6">
      <c r="A44" t="s">
        <v>33</v>
      </c>
      <c r="C44" s="16"/>
      <c r="D44" s="8"/>
      <c r="E44" s="52"/>
      <c r="F44" s="62">
        <v>0</v>
      </c>
      <c r="G44" s="76">
        <f>-G35</f>
        <v>-2596195.0200000005</v>
      </c>
      <c r="H44" s="5"/>
    </row>
    <row r="45" spans="1:9" x14ac:dyDescent="0.55000000000000004">
      <c r="A45" s="47"/>
      <c r="B45" s="47"/>
      <c r="C45" s="48"/>
      <c r="D45" s="49"/>
      <c r="E45" s="46"/>
      <c r="F45" s="46"/>
      <c r="G45" s="77">
        <f>SUM(G43+G44)</f>
        <v>461978.51999999909</v>
      </c>
      <c r="H45" s="5"/>
    </row>
    <row r="46" spans="1:9" ht="14.7" thickBot="1" x14ac:dyDescent="0.6">
      <c r="A46" s="50" t="s">
        <v>141</v>
      </c>
      <c r="B46" s="43"/>
      <c r="C46" s="44"/>
      <c r="D46" s="45"/>
      <c r="E46" s="45"/>
      <c r="F46" s="45"/>
      <c r="G46" s="78">
        <f>G45</f>
        <v>461978.51999999909</v>
      </c>
      <c r="H46" s="5"/>
    </row>
    <row r="47" spans="1:9" ht="14.7" thickBot="1" x14ac:dyDescent="0.6">
      <c r="A47" s="13" t="s">
        <v>43</v>
      </c>
      <c r="B47" s="14" t="s">
        <v>62</v>
      </c>
      <c r="C47" s="17" t="s">
        <v>56</v>
      </c>
      <c r="D47" s="51" t="s">
        <v>135</v>
      </c>
      <c r="E47" s="20" t="s">
        <v>44</v>
      </c>
      <c r="F47" s="14" t="s">
        <v>45</v>
      </c>
      <c r="G47" s="51" t="s">
        <v>136</v>
      </c>
      <c r="H47" s="79" t="s">
        <v>57</v>
      </c>
    </row>
    <row r="48" spans="1:9" ht="14.7" thickBot="1" x14ac:dyDescent="0.6">
      <c r="A48" s="11" t="s">
        <v>86</v>
      </c>
      <c r="B48" s="12" t="s">
        <v>93</v>
      </c>
      <c r="C48" s="31">
        <v>5.93</v>
      </c>
      <c r="D48" s="90">
        <v>165211.85</v>
      </c>
      <c r="E48" s="90">
        <v>165211.85</v>
      </c>
      <c r="F48" s="89">
        <f>D48-E48</f>
        <v>0</v>
      </c>
      <c r="G48" s="90">
        <f>D48*1.03</f>
        <v>170168.20550000001</v>
      </c>
      <c r="H48" s="93">
        <f>F48+G48</f>
        <v>170168.20550000001</v>
      </c>
    </row>
    <row r="49" spans="1:8" ht="14.7" thickBot="1" x14ac:dyDescent="0.6">
      <c r="A49" s="10" t="s">
        <v>87</v>
      </c>
      <c r="B49" s="5" t="s">
        <v>36</v>
      </c>
      <c r="C49" s="32">
        <v>5.9</v>
      </c>
      <c r="D49" s="90">
        <v>154625.51999999999</v>
      </c>
      <c r="E49" s="90">
        <v>154625.51999999999</v>
      </c>
      <c r="F49" s="89">
        <f t="shared" ref="F49:F66" si="5">D49-E49</f>
        <v>0</v>
      </c>
      <c r="G49" s="90">
        <f>D49*1.03</f>
        <v>159264.2856</v>
      </c>
      <c r="H49" s="93">
        <f>F49+G49</f>
        <v>159264.2856</v>
      </c>
    </row>
    <row r="50" spans="1:8" ht="14.7" thickBot="1" x14ac:dyDescent="0.6">
      <c r="A50" s="10" t="s">
        <v>52</v>
      </c>
      <c r="B50" s="5" t="s">
        <v>130</v>
      </c>
      <c r="C50" s="32">
        <v>3.32</v>
      </c>
      <c r="D50" s="90">
        <v>92579.72</v>
      </c>
      <c r="E50" s="90">
        <v>92579.72</v>
      </c>
      <c r="F50" s="89">
        <f t="shared" si="5"/>
        <v>0</v>
      </c>
      <c r="G50" s="90">
        <f>D50*1.03</f>
        <v>95357.111600000004</v>
      </c>
      <c r="H50" s="93">
        <f t="shared" ref="H50:H66" si="6">F50+G50</f>
        <v>95357.111600000004</v>
      </c>
    </row>
    <row r="51" spans="1:8" ht="14.7" thickBot="1" x14ac:dyDescent="0.6">
      <c r="A51" s="10" t="s">
        <v>38</v>
      </c>
      <c r="B51" s="5" t="s">
        <v>120</v>
      </c>
      <c r="C51" s="32">
        <v>5.17</v>
      </c>
      <c r="D51" s="90">
        <v>163984.24</v>
      </c>
      <c r="E51" s="90">
        <v>164000</v>
      </c>
      <c r="F51" s="89">
        <f t="shared" si="5"/>
        <v>-15.760000000009313</v>
      </c>
      <c r="G51" s="90">
        <f>D51*1.03</f>
        <v>168903.7672</v>
      </c>
      <c r="H51" s="93">
        <f t="shared" si="6"/>
        <v>168888.00719999999</v>
      </c>
    </row>
    <row r="52" spans="1:8" ht="14.7" thickBot="1" x14ac:dyDescent="0.6">
      <c r="A52" s="10" t="s">
        <v>46</v>
      </c>
      <c r="B52" s="5" t="s">
        <v>116</v>
      </c>
      <c r="C52" s="32">
        <v>3.91</v>
      </c>
      <c r="D52" s="90">
        <v>87258</v>
      </c>
      <c r="E52" s="90">
        <v>87258</v>
      </c>
      <c r="F52" s="89">
        <f t="shared" si="5"/>
        <v>0</v>
      </c>
      <c r="G52" s="90">
        <f>D52*1.03</f>
        <v>89875.74</v>
      </c>
      <c r="H52" s="93">
        <f t="shared" si="6"/>
        <v>89875.74</v>
      </c>
    </row>
    <row r="53" spans="1:8" ht="14.7" thickBot="1" x14ac:dyDescent="0.6">
      <c r="A53" s="10" t="s">
        <v>68</v>
      </c>
      <c r="B53" s="64" t="s">
        <v>143</v>
      </c>
      <c r="C53" s="32">
        <v>6.09</v>
      </c>
      <c r="D53" s="90">
        <v>136662.1</v>
      </c>
      <c r="E53" s="90">
        <v>136662.1</v>
      </c>
      <c r="F53" s="89">
        <f t="shared" si="5"/>
        <v>0</v>
      </c>
      <c r="G53" s="90">
        <f t="shared" ref="G53:G66" si="7">D53*1.03</f>
        <v>140761.96300000002</v>
      </c>
      <c r="H53" s="93">
        <f t="shared" si="6"/>
        <v>140761.96300000002</v>
      </c>
    </row>
    <row r="54" spans="1:8" ht="14.7" thickBot="1" x14ac:dyDescent="0.6">
      <c r="A54" s="10" t="s">
        <v>91</v>
      </c>
      <c r="B54" s="5" t="s">
        <v>47</v>
      </c>
      <c r="C54" s="32">
        <v>7.22</v>
      </c>
      <c r="D54" s="90">
        <v>176088.87</v>
      </c>
      <c r="E54" s="90">
        <v>176088.87</v>
      </c>
      <c r="F54" s="89">
        <f t="shared" si="5"/>
        <v>0</v>
      </c>
      <c r="G54" s="90">
        <f t="shared" si="7"/>
        <v>181371.5361</v>
      </c>
      <c r="H54" s="93">
        <f t="shared" si="6"/>
        <v>181371.5361</v>
      </c>
    </row>
    <row r="55" spans="1:8" ht="14.7" thickBot="1" x14ac:dyDescent="0.6">
      <c r="A55" s="10" t="s">
        <v>65</v>
      </c>
      <c r="B55" s="5" t="s">
        <v>117</v>
      </c>
      <c r="C55" s="32">
        <v>6.01</v>
      </c>
      <c r="D55" s="90">
        <v>178502.16</v>
      </c>
      <c r="E55" s="90">
        <v>178502.16</v>
      </c>
      <c r="F55" s="89">
        <f t="shared" si="5"/>
        <v>0</v>
      </c>
      <c r="G55" s="90">
        <f t="shared" si="7"/>
        <v>183857.2248</v>
      </c>
      <c r="H55" s="93">
        <f t="shared" si="6"/>
        <v>183857.2248</v>
      </c>
    </row>
    <row r="56" spans="1:8" ht="14.7" thickBot="1" x14ac:dyDescent="0.6">
      <c r="A56" s="10" t="s">
        <v>48</v>
      </c>
      <c r="B56" s="5" t="s">
        <v>47</v>
      </c>
      <c r="C56" s="32">
        <v>5.22</v>
      </c>
      <c r="D56" s="90">
        <v>148707.87</v>
      </c>
      <c r="E56" s="90">
        <v>148707.87</v>
      </c>
      <c r="F56" s="89">
        <f t="shared" si="5"/>
        <v>0</v>
      </c>
      <c r="G56" s="90">
        <f t="shared" si="7"/>
        <v>153169.1061</v>
      </c>
      <c r="H56" s="93">
        <f t="shared" si="6"/>
        <v>153169.1061</v>
      </c>
    </row>
    <row r="57" spans="1:8" ht="14.7" thickBot="1" x14ac:dyDescent="0.6">
      <c r="A57" s="10" t="s">
        <v>54</v>
      </c>
      <c r="B57" s="5" t="s">
        <v>50</v>
      </c>
      <c r="C57" s="32">
        <v>7.09</v>
      </c>
      <c r="D57" s="90">
        <v>114492.82</v>
      </c>
      <c r="E57" s="90">
        <v>114492.82</v>
      </c>
      <c r="F57" s="89">
        <f t="shared" si="5"/>
        <v>0</v>
      </c>
      <c r="G57" s="90">
        <f>D57*1.03</f>
        <v>117927.60460000001</v>
      </c>
      <c r="H57" s="93">
        <f t="shared" si="6"/>
        <v>117927.60460000001</v>
      </c>
    </row>
    <row r="58" spans="1:8" ht="14.7" thickBot="1" x14ac:dyDescent="0.6">
      <c r="A58" s="10" t="s">
        <v>39</v>
      </c>
      <c r="B58" s="5" t="s">
        <v>92</v>
      </c>
      <c r="C58" s="32">
        <v>2.63</v>
      </c>
      <c r="D58" s="90">
        <v>71337.56</v>
      </c>
      <c r="E58" s="90">
        <v>71337.56</v>
      </c>
      <c r="F58" s="89">
        <f t="shared" si="5"/>
        <v>0</v>
      </c>
      <c r="G58" s="90">
        <f t="shared" si="7"/>
        <v>73477.686799999996</v>
      </c>
      <c r="H58" s="93">
        <f t="shared" si="6"/>
        <v>73477.686799999996</v>
      </c>
    </row>
    <row r="59" spans="1:8" ht="14.7" thickBot="1" x14ac:dyDescent="0.6">
      <c r="A59" s="10" t="s">
        <v>55</v>
      </c>
      <c r="B59" s="5" t="s">
        <v>35</v>
      </c>
      <c r="C59" s="32">
        <v>5.98</v>
      </c>
      <c r="D59" s="90">
        <v>165148.13</v>
      </c>
      <c r="E59" s="90">
        <v>165149</v>
      </c>
      <c r="F59" s="89">
        <f t="shared" si="5"/>
        <v>-0.86999999999534339</v>
      </c>
      <c r="G59" s="90">
        <f t="shared" si="7"/>
        <v>170102.57390000002</v>
      </c>
      <c r="H59" s="93">
        <f t="shared" si="6"/>
        <v>170101.70390000002</v>
      </c>
    </row>
    <row r="60" spans="1:8" ht="14.7" thickBot="1" x14ac:dyDescent="0.6">
      <c r="A60" s="10" t="s">
        <v>64</v>
      </c>
      <c r="B60" s="5" t="s">
        <v>88</v>
      </c>
      <c r="C60" s="32">
        <v>5.74</v>
      </c>
      <c r="D60" s="90">
        <v>168711.31</v>
      </c>
      <c r="E60" s="90">
        <v>168711.31</v>
      </c>
      <c r="F60" s="89">
        <f t="shared" si="5"/>
        <v>0</v>
      </c>
      <c r="G60" s="90">
        <f t="shared" si="7"/>
        <v>173772.64929999999</v>
      </c>
      <c r="H60" s="93">
        <f t="shared" si="6"/>
        <v>173772.64929999999</v>
      </c>
    </row>
    <row r="61" spans="1:8" ht="14.7" thickBot="1" x14ac:dyDescent="0.6">
      <c r="A61" s="10" t="s">
        <v>71</v>
      </c>
      <c r="B61" s="5" t="s">
        <v>122</v>
      </c>
      <c r="C61" s="32">
        <v>6.39</v>
      </c>
      <c r="D61" s="90">
        <v>169935.62</v>
      </c>
      <c r="E61" s="90">
        <v>169935.62</v>
      </c>
      <c r="F61" s="89">
        <f t="shared" si="5"/>
        <v>0</v>
      </c>
      <c r="G61" s="90">
        <f t="shared" si="7"/>
        <v>175033.68859999999</v>
      </c>
      <c r="H61" s="93">
        <f t="shared" si="6"/>
        <v>175033.68859999999</v>
      </c>
    </row>
    <row r="62" spans="1:8" ht="14.7" thickBot="1" x14ac:dyDescent="0.6">
      <c r="A62" s="10" t="s">
        <v>40</v>
      </c>
      <c r="B62" s="5" t="s">
        <v>67</v>
      </c>
      <c r="C62" s="32">
        <v>5.21</v>
      </c>
      <c r="D62" s="90">
        <v>143095.62</v>
      </c>
      <c r="E62" s="90">
        <v>143100</v>
      </c>
      <c r="F62" s="89">
        <f t="shared" si="5"/>
        <v>-4.3800000000046566</v>
      </c>
      <c r="G62" s="90">
        <f t="shared" si="7"/>
        <v>147388.48860000001</v>
      </c>
      <c r="H62" s="93">
        <f t="shared" si="6"/>
        <v>147384.10860000001</v>
      </c>
    </row>
    <row r="63" spans="1:8" ht="14.7" thickBot="1" x14ac:dyDescent="0.6">
      <c r="A63" s="10" t="s">
        <v>89</v>
      </c>
      <c r="B63" s="95" t="s">
        <v>107</v>
      </c>
      <c r="C63" s="32">
        <v>5.22</v>
      </c>
      <c r="D63" s="90">
        <v>147713.78</v>
      </c>
      <c r="E63" s="90">
        <v>147713.78</v>
      </c>
      <c r="F63" s="89">
        <f t="shared" si="5"/>
        <v>0</v>
      </c>
      <c r="G63" s="90">
        <f t="shared" si="7"/>
        <v>152145.19339999999</v>
      </c>
      <c r="H63" s="93">
        <f t="shared" si="6"/>
        <v>152145.19339999999</v>
      </c>
    </row>
    <row r="64" spans="1:8" ht="14.7" thickBot="1" x14ac:dyDescent="0.6">
      <c r="A64" s="10" t="s">
        <v>41</v>
      </c>
      <c r="B64" s="95" t="s">
        <v>106</v>
      </c>
      <c r="C64" s="32">
        <v>2.61</v>
      </c>
      <c r="D64" s="90">
        <v>73501.72</v>
      </c>
      <c r="E64" s="90">
        <v>73502</v>
      </c>
      <c r="F64" s="89">
        <f t="shared" si="5"/>
        <v>-0.27999999999883585</v>
      </c>
      <c r="G64" s="90">
        <f t="shared" si="7"/>
        <v>75706.771600000007</v>
      </c>
      <c r="H64" s="93">
        <f t="shared" si="6"/>
        <v>75706.491600000008</v>
      </c>
    </row>
    <row r="65" spans="1:9" ht="14.7" thickBot="1" x14ac:dyDescent="0.6">
      <c r="A65" s="10" t="s">
        <v>42</v>
      </c>
      <c r="B65" s="5" t="s">
        <v>49</v>
      </c>
      <c r="C65" s="32">
        <v>5.45</v>
      </c>
      <c r="D65" s="90">
        <v>151536.38</v>
      </c>
      <c r="E65" s="90">
        <v>151536.38</v>
      </c>
      <c r="F65" s="89">
        <f t="shared" si="5"/>
        <v>0</v>
      </c>
      <c r="G65" s="90">
        <f t="shared" si="7"/>
        <v>156082.47140000001</v>
      </c>
      <c r="H65" s="93">
        <f t="shared" si="6"/>
        <v>156082.47140000001</v>
      </c>
    </row>
    <row r="66" spans="1:9" x14ac:dyDescent="0.55000000000000004">
      <c r="A66" s="10" t="s">
        <v>53</v>
      </c>
      <c r="B66" s="5" t="s">
        <v>131</v>
      </c>
      <c r="C66" s="32">
        <v>4.91</v>
      </c>
      <c r="D66" s="90">
        <v>151536.38</v>
      </c>
      <c r="E66" s="90">
        <v>151536.38</v>
      </c>
      <c r="F66" s="89">
        <f t="shared" si="5"/>
        <v>0</v>
      </c>
      <c r="G66" s="90">
        <f t="shared" si="7"/>
        <v>156082.47140000001</v>
      </c>
      <c r="H66" s="93">
        <f t="shared" si="6"/>
        <v>156082.47140000001</v>
      </c>
    </row>
    <row r="67" spans="1:9" x14ac:dyDescent="0.55000000000000004">
      <c r="A67" s="24"/>
      <c r="B67" s="25"/>
      <c r="C67" s="26">
        <f t="shared" ref="C67" si="8">SUM(C48:C66)</f>
        <v>99.999999999999986</v>
      </c>
      <c r="D67" s="26">
        <f t="shared" ref="D67:H67" si="9">SUM(D48:D66)</f>
        <v>2660629.6500000004</v>
      </c>
      <c r="E67" s="26">
        <f t="shared" si="9"/>
        <v>2660650.9399999995</v>
      </c>
      <c r="F67" s="26">
        <f>SUM(F48:F66)</f>
        <v>-21.290000000008149</v>
      </c>
      <c r="G67" s="26">
        <f t="shared" si="9"/>
        <v>2740448.5395000004</v>
      </c>
      <c r="H67" s="94">
        <f t="shared" si="9"/>
        <v>2740427.2495000004</v>
      </c>
    </row>
    <row r="68" spans="1:9" ht="20.399999999999999" x14ac:dyDescent="0.75">
      <c r="B68" s="66" t="s">
        <v>140</v>
      </c>
      <c r="C68" s="67"/>
      <c r="D68" s="68"/>
      <c r="E68" s="68"/>
      <c r="F68" s="69"/>
      <c r="G68" s="8"/>
      <c r="H68" s="2"/>
    </row>
    <row r="69" spans="1:9" x14ac:dyDescent="0.55000000000000004">
      <c r="B69" s="88" t="s">
        <v>94</v>
      </c>
      <c r="C69" s="16"/>
      <c r="D69" s="8"/>
      <c r="E69" s="8"/>
      <c r="F69" s="2"/>
      <c r="G69" s="8"/>
      <c r="H69" s="2"/>
      <c r="I69" s="1"/>
    </row>
    <row r="70" spans="1:9" ht="15.6" x14ac:dyDescent="0.6">
      <c r="A70" s="42" t="s">
        <v>103</v>
      </c>
      <c r="B70" s="1"/>
      <c r="C70" s="92"/>
      <c r="D70" s="34"/>
      <c r="E70" s="34"/>
      <c r="F70" s="1"/>
      <c r="G70" s="34"/>
      <c r="H70" s="1"/>
    </row>
    <row r="71" spans="1:9" x14ac:dyDescent="0.55000000000000004">
      <c r="A71" s="1" t="s">
        <v>111</v>
      </c>
      <c r="B71" s="1"/>
      <c r="C71" s="96"/>
      <c r="D71" s="97"/>
      <c r="E71" s="97"/>
      <c r="F71" s="3"/>
      <c r="G71" s="97"/>
      <c r="H71" s="3"/>
    </row>
    <row r="72" spans="1:9" x14ac:dyDescent="0.55000000000000004">
      <c r="C72" s="16"/>
      <c r="D72" s="8"/>
      <c r="E72" s="8"/>
      <c r="F72" s="2"/>
      <c r="G72" s="8"/>
      <c r="H72" s="2"/>
    </row>
    <row r="73" spans="1:9" ht="15.6" x14ac:dyDescent="0.6">
      <c r="A73" s="42" t="s">
        <v>115</v>
      </c>
      <c r="B73" s="42"/>
      <c r="C73" s="39"/>
      <c r="D73" s="40"/>
      <c r="E73" s="40"/>
      <c r="F73" s="42"/>
      <c r="G73" s="40"/>
      <c r="H73" s="42"/>
    </row>
  </sheetData>
  <printOptions horizontalCentered="1"/>
  <pageMargins left="0.70866141732283472" right="0.70866141732283472" top="0.35433070866141736" bottom="0.35433070866141736" header="0.31496062992125984" footer="0.31496062992125984"/>
  <pageSetup paperSize="9" scale="75" orientation="landscape" r:id="rId1"/>
  <rowBreaks count="1" manualBreakCount="1">
    <brk id="46" max="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B1:J73"/>
  <sheetViews>
    <sheetView workbookViewId="0">
      <selection activeCell="K10" sqref="K10"/>
    </sheetView>
  </sheetViews>
  <sheetFormatPr baseColWidth="10" defaultRowHeight="14.4" x14ac:dyDescent="0.55000000000000004"/>
  <cols>
    <col min="1" max="1" width="1.15625" customWidth="1"/>
    <col min="2" max="2" width="12.68359375" customWidth="1"/>
    <col min="3" max="3" width="15.83984375" customWidth="1"/>
    <col min="5" max="5" width="16.41796875" customWidth="1"/>
    <col min="6" max="6" width="14.83984375" customWidth="1"/>
    <col min="7" max="7" width="13.41796875" customWidth="1"/>
    <col min="8" max="8" width="14" customWidth="1"/>
    <col min="9" max="9" width="14.26171875" customWidth="1"/>
  </cols>
  <sheetData>
    <row r="1" spans="2:9" ht="18.3" x14ac:dyDescent="0.7">
      <c r="C1" s="72" t="s">
        <v>137</v>
      </c>
      <c r="D1" s="71"/>
      <c r="E1" s="8"/>
      <c r="F1" s="8"/>
      <c r="G1" s="8"/>
      <c r="H1" s="8"/>
      <c r="I1" s="15"/>
    </row>
    <row r="2" spans="2:9" ht="15.6" x14ac:dyDescent="0.6">
      <c r="C2" s="42" t="s">
        <v>138</v>
      </c>
      <c r="D2" s="16"/>
      <c r="E2" s="8"/>
      <c r="F2" s="8"/>
      <c r="G2" s="8"/>
      <c r="H2" s="8"/>
      <c r="I2" s="23"/>
    </row>
    <row r="3" spans="2:9" x14ac:dyDescent="0.55000000000000004">
      <c r="C3" s="1"/>
      <c r="D3" s="16"/>
      <c r="E3" s="8"/>
      <c r="F3" s="8"/>
      <c r="G3" s="8"/>
      <c r="H3" s="8"/>
      <c r="I3" s="23"/>
    </row>
    <row r="4" spans="2:9" x14ac:dyDescent="0.55000000000000004">
      <c r="B4" s="1" t="s">
        <v>0</v>
      </c>
      <c r="D4" s="16"/>
      <c r="E4" s="8"/>
      <c r="F4" s="8"/>
      <c r="G4" s="34" t="s">
        <v>3</v>
      </c>
      <c r="H4" s="35"/>
      <c r="I4" s="15"/>
    </row>
    <row r="5" spans="2:9" x14ac:dyDescent="0.55000000000000004">
      <c r="B5" t="s">
        <v>1</v>
      </c>
      <c r="D5" s="16"/>
      <c r="E5" s="8"/>
      <c r="F5" s="8"/>
      <c r="G5" s="35" t="s">
        <v>4</v>
      </c>
      <c r="H5" s="35"/>
      <c r="I5" s="2"/>
    </row>
    <row r="6" spans="2:9" x14ac:dyDescent="0.55000000000000004">
      <c r="B6" t="s">
        <v>2</v>
      </c>
      <c r="D6" s="16"/>
      <c r="E6" s="8"/>
      <c r="F6" s="8"/>
      <c r="G6" s="35" t="s">
        <v>5</v>
      </c>
      <c r="H6" s="35"/>
      <c r="I6" s="2"/>
    </row>
    <row r="7" spans="2:9" x14ac:dyDescent="0.55000000000000004">
      <c r="B7" s="91">
        <v>1168722530</v>
      </c>
      <c r="D7" s="16"/>
      <c r="E7" s="8"/>
      <c r="F7" s="8"/>
      <c r="G7" s="8"/>
      <c r="H7" s="8"/>
      <c r="I7" s="2"/>
    </row>
    <row r="8" spans="2:9" ht="15.6" x14ac:dyDescent="0.6">
      <c r="D8" s="39"/>
      <c r="E8" s="40" t="s">
        <v>133</v>
      </c>
      <c r="F8" s="41"/>
      <c r="G8" s="8"/>
      <c r="H8" s="8"/>
      <c r="I8" s="2"/>
    </row>
    <row r="9" spans="2:9" x14ac:dyDescent="0.55000000000000004">
      <c r="B9" s="1" t="s">
        <v>7</v>
      </c>
      <c r="C9" s="1"/>
      <c r="D9" s="16"/>
      <c r="E9" s="102">
        <v>156082.47</v>
      </c>
      <c r="F9" s="8"/>
      <c r="G9" s="8"/>
      <c r="H9" s="8"/>
      <c r="I9" s="2"/>
    </row>
    <row r="10" spans="2:9" x14ac:dyDescent="0.55000000000000004">
      <c r="B10" t="s">
        <v>8</v>
      </c>
      <c r="D10" s="16"/>
      <c r="E10" s="8"/>
      <c r="F10" s="8"/>
      <c r="G10" s="8"/>
      <c r="H10" s="8"/>
      <c r="I10" s="2"/>
    </row>
    <row r="11" spans="2:9" x14ac:dyDescent="0.55000000000000004">
      <c r="B11" t="s">
        <v>11</v>
      </c>
      <c r="D11" s="16"/>
      <c r="E11" s="8"/>
      <c r="F11" s="8"/>
      <c r="G11" s="8"/>
      <c r="H11" s="8"/>
      <c r="I11" s="2"/>
    </row>
    <row r="12" spans="2:9" ht="15.9" thickBot="1" x14ac:dyDescent="0.65">
      <c r="B12" s="1" t="s">
        <v>144</v>
      </c>
      <c r="D12" s="16"/>
      <c r="E12" s="8"/>
      <c r="F12" s="8"/>
      <c r="G12" s="8"/>
      <c r="H12" s="40">
        <f>SUM(E9)</f>
        <v>156082.47</v>
      </c>
      <c r="I12" s="2"/>
    </row>
    <row r="13" spans="2:9" ht="14.7" thickBot="1" x14ac:dyDescent="0.6">
      <c r="B13" s="27"/>
      <c r="C13" s="28"/>
      <c r="D13" s="29" t="s">
        <v>12</v>
      </c>
      <c r="E13" s="30"/>
      <c r="F13" s="85" t="s">
        <v>15</v>
      </c>
      <c r="G13" s="85" t="s">
        <v>70</v>
      </c>
      <c r="H13" s="86" t="s">
        <v>16</v>
      </c>
      <c r="I13" s="82" t="s">
        <v>85</v>
      </c>
    </row>
    <row r="14" spans="2:9" x14ac:dyDescent="0.55000000000000004">
      <c r="B14" s="3" t="s">
        <v>14</v>
      </c>
      <c r="D14" s="16"/>
      <c r="E14" s="8"/>
      <c r="F14" s="7"/>
      <c r="G14" s="7"/>
      <c r="H14" s="7"/>
      <c r="I14" s="83"/>
    </row>
    <row r="15" spans="2:9" ht="14.7" thickBot="1" x14ac:dyDescent="0.6">
      <c r="B15" t="s">
        <v>134</v>
      </c>
      <c r="C15" s="2"/>
      <c r="D15" s="2"/>
      <c r="E15" s="8"/>
      <c r="F15" s="70">
        <v>754089</v>
      </c>
      <c r="G15" s="7"/>
      <c r="H15" s="7">
        <f>F15</f>
        <v>754089</v>
      </c>
      <c r="I15" s="84"/>
    </row>
    <row r="16" spans="2:9" ht="14.7" thickBot="1" x14ac:dyDescent="0.6">
      <c r="D16" s="16"/>
      <c r="E16" s="21" t="s">
        <v>20</v>
      </c>
      <c r="F16" s="9">
        <f>SUM(F15:F15)</f>
        <v>754089</v>
      </c>
      <c r="G16" s="9">
        <f>SUM(G15:G15)</f>
        <v>0</v>
      </c>
      <c r="H16" s="9">
        <f>SUM(H15:H15)</f>
        <v>754089</v>
      </c>
      <c r="I16" s="83"/>
    </row>
    <row r="17" spans="2:10" x14ac:dyDescent="0.55000000000000004">
      <c r="B17" s="3" t="s">
        <v>18</v>
      </c>
      <c r="D17" s="16"/>
      <c r="E17" s="8"/>
      <c r="F17" s="6"/>
      <c r="G17" s="6"/>
      <c r="H17" s="22"/>
      <c r="I17" s="5"/>
    </row>
    <row r="18" spans="2:10" x14ac:dyDescent="0.55000000000000004">
      <c r="B18" t="s">
        <v>17</v>
      </c>
      <c r="D18" s="16"/>
      <c r="E18" s="8"/>
      <c r="F18" s="70">
        <v>91219.13</v>
      </c>
      <c r="G18" s="7"/>
      <c r="H18" s="73">
        <f>F18</f>
        <v>91219.13</v>
      </c>
      <c r="I18" s="5"/>
    </row>
    <row r="19" spans="2:10" ht="14.7" thickBot="1" x14ac:dyDescent="0.6">
      <c r="B19" t="s">
        <v>109</v>
      </c>
      <c r="D19" s="16"/>
      <c r="E19" s="8"/>
      <c r="F19" s="99">
        <v>599664.24</v>
      </c>
      <c r="G19" s="7"/>
      <c r="H19" s="7">
        <f t="shared" ref="H19" si="0">F19</f>
        <v>599664.24</v>
      </c>
      <c r="I19" s="5"/>
    </row>
    <row r="20" spans="2:10" ht="14.7" thickBot="1" x14ac:dyDescent="0.6">
      <c r="D20" s="16"/>
      <c r="E20" s="21" t="s">
        <v>21</v>
      </c>
      <c r="F20" s="100">
        <f>SUM(F18:F19)</f>
        <v>690883.37</v>
      </c>
      <c r="G20" s="100">
        <f>SUM(G18:G19)</f>
        <v>0</v>
      </c>
      <c r="H20" s="100">
        <f>SUM(H18:H19)</f>
        <v>690883.37</v>
      </c>
      <c r="I20" s="5"/>
    </row>
    <row r="21" spans="2:10" x14ac:dyDescent="0.55000000000000004">
      <c r="B21" s="3" t="s">
        <v>19</v>
      </c>
      <c r="C21" s="2"/>
      <c r="D21" s="16"/>
      <c r="E21" s="8"/>
      <c r="F21" s="6"/>
      <c r="G21" s="6"/>
      <c r="H21" s="22">
        <f t="shared" ref="H21:H24" si="1">F21+G21</f>
        <v>0</v>
      </c>
      <c r="I21" s="5"/>
    </row>
    <row r="22" spans="2:10" x14ac:dyDescent="0.55000000000000004">
      <c r="B22" t="s">
        <v>22</v>
      </c>
      <c r="D22" s="16"/>
      <c r="E22" s="8"/>
      <c r="F22" s="70">
        <v>350000</v>
      </c>
      <c r="G22" s="7"/>
      <c r="H22" s="73">
        <f t="shared" si="1"/>
        <v>350000</v>
      </c>
      <c r="I22" s="5"/>
    </row>
    <row r="23" spans="2:10" x14ac:dyDescent="0.55000000000000004">
      <c r="B23" t="s">
        <v>105</v>
      </c>
      <c r="D23" s="16"/>
      <c r="E23" s="8"/>
      <c r="F23" s="70">
        <v>821</v>
      </c>
      <c r="G23" s="7"/>
      <c r="H23" s="73">
        <f t="shared" si="1"/>
        <v>821</v>
      </c>
      <c r="I23" s="5"/>
    </row>
    <row r="24" spans="2:10" ht="14.7" thickBot="1" x14ac:dyDescent="0.6">
      <c r="B24" t="s">
        <v>82</v>
      </c>
      <c r="D24" s="16"/>
      <c r="E24" s="8"/>
      <c r="F24" s="70">
        <v>0</v>
      </c>
      <c r="G24" s="7"/>
      <c r="H24" s="73">
        <f t="shared" si="1"/>
        <v>0</v>
      </c>
      <c r="I24" s="5"/>
    </row>
    <row r="25" spans="2:10" ht="14.7" thickBot="1" x14ac:dyDescent="0.6">
      <c r="D25" s="16"/>
      <c r="E25" s="21" t="s">
        <v>24</v>
      </c>
      <c r="F25" s="9">
        <f>SUM(F22:F24)</f>
        <v>350821</v>
      </c>
      <c r="G25" s="9"/>
      <c r="H25" s="9">
        <f>SUM(H22:H24)</f>
        <v>350821</v>
      </c>
      <c r="I25" s="5"/>
    </row>
    <row r="26" spans="2:10" x14ac:dyDescent="0.55000000000000004">
      <c r="B26" s="3" t="s">
        <v>25</v>
      </c>
      <c r="D26" s="16"/>
      <c r="E26" s="8"/>
      <c r="F26" s="6"/>
      <c r="G26" s="6"/>
      <c r="H26" s="22">
        <f t="shared" ref="H26:H29" si="2">F26+G26</f>
        <v>0</v>
      </c>
      <c r="I26" s="5"/>
    </row>
    <row r="27" spans="2:10" x14ac:dyDescent="0.55000000000000004">
      <c r="B27" t="s">
        <v>84</v>
      </c>
      <c r="D27" s="16"/>
      <c r="E27" s="8"/>
      <c r="F27" s="70">
        <v>66000</v>
      </c>
      <c r="G27" s="7"/>
      <c r="H27" s="73">
        <f t="shared" si="2"/>
        <v>66000</v>
      </c>
      <c r="I27" s="5"/>
    </row>
    <row r="28" spans="2:10" x14ac:dyDescent="0.55000000000000004">
      <c r="B28" t="s">
        <v>139</v>
      </c>
      <c r="D28" s="16"/>
      <c r="E28" s="8"/>
      <c r="F28" s="70">
        <v>215000</v>
      </c>
      <c r="G28" s="7"/>
      <c r="H28" s="73">
        <f t="shared" si="2"/>
        <v>215000</v>
      </c>
      <c r="I28" s="5"/>
      <c r="J28" s="80"/>
    </row>
    <row r="29" spans="2:10" ht="14.7" thickBot="1" x14ac:dyDescent="0.6">
      <c r="B29" t="s">
        <v>90</v>
      </c>
      <c r="C29" s="101"/>
      <c r="D29" s="16"/>
      <c r="E29" s="8"/>
      <c r="F29" s="99">
        <v>335500.14</v>
      </c>
      <c r="G29" s="7"/>
      <c r="H29" s="73">
        <f t="shared" si="2"/>
        <v>335500.14</v>
      </c>
      <c r="I29" s="5"/>
    </row>
    <row r="30" spans="2:10" ht="14.7" thickBot="1" x14ac:dyDescent="0.6">
      <c r="D30" s="16"/>
      <c r="E30" s="21" t="s">
        <v>26</v>
      </c>
      <c r="F30" s="103">
        <f>SUM(F27:F29)</f>
        <v>616500.14</v>
      </c>
      <c r="G30" s="103">
        <f>SUM(G27:G29)</f>
        <v>0</v>
      </c>
      <c r="H30" s="103">
        <f>SUM(H27:H29)</f>
        <v>616500.14</v>
      </c>
      <c r="I30" s="84"/>
    </row>
    <row r="31" spans="2:10" x14ac:dyDescent="0.55000000000000004">
      <c r="B31" s="3" t="s">
        <v>27</v>
      </c>
      <c r="D31" s="16"/>
      <c r="E31" s="8"/>
      <c r="F31" s="7"/>
      <c r="G31" s="7"/>
      <c r="H31" s="7">
        <f t="shared" ref="H31" si="3">F31+G31</f>
        <v>0</v>
      </c>
      <c r="I31" s="84"/>
    </row>
    <row r="32" spans="2:10" x14ac:dyDescent="0.55000000000000004">
      <c r="B32" s="63" t="s">
        <v>129</v>
      </c>
      <c r="D32" s="16"/>
      <c r="E32" s="8"/>
      <c r="F32" s="7">
        <v>36133.910000000003</v>
      </c>
      <c r="G32" s="7"/>
      <c r="H32" s="73">
        <f>F32+G32</f>
        <v>36133.910000000003</v>
      </c>
      <c r="I32" s="84"/>
    </row>
    <row r="33" spans="2:10" ht="14.7" thickBot="1" x14ac:dyDescent="0.6">
      <c r="B33" t="s">
        <v>104</v>
      </c>
      <c r="D33" s="16"/>
      <c r="E33" s="8"/>
      <c r="F33" s="70">
        <v>147767.6</v>
      </c>
      <c r="G33" s="7"/>
      <c r="H33" s="73">
        <f t="shared" ref="H33" si="4">F33+G33</f>
        <v>147767.6</v>
      </c>
      <c r="I33" s="84"/>
    </row>
    <row r="34" spans="2:10" ht="14.7" thickBot="1" x14ac:dyDescent="0.6">
      <c r="B34" s="3"/>
      <c r="D34" s="16"/>
      <c r="E34" s="21" t="s">
        <v>28</v>
      </c>
      <c r="F34" s="19">
        <f>SUM(F32:F33)</f>
        <v>183901.51</v>
      </c>
      <c r="G34" s="19">
        <f>SUM(G32:G33)</f>
        <v>0</v>
      </c>
      <c r="H34" s="19">
        <f>SUM(H32:H33)</f>
        <v>183901.51</v>
      </c>
      <c r="I34" s="84"/>
    </row>
    <row r="35" spans="2:10" ht="14.7" thickBot="1" x14ac:dyDescent="0.6">
      <c r="B35" s="54" t="s">
        <v>34</v>
      </c>
      <c r="C35" s="55"/>
      <c r="D35" s="37"/>
      <c r="E35" s="56"/>
      <c r="F35" s="38">
        <f>SUM(F16+F20+F25+F34+F30)</f>
        <v>2596195.02</v>
      </c>
      <c r="G35" s="38">
        <f>G34</f>
        <v>0</v>
      </c>
      <c r="H35" s="56">
        <f>SUM(H16+H20+H25+H30+H34)</f>
        <v>2596195.0200000005</v>
      </c>
      <c r="I35" s="5"/>
    </row>
    <row r="36" spans="2:10" ht="14.7" thickBot="1" x14ac:dyDescent="0.6">
      <c r="B36" s="36"/>
      <c r="C36" s="53" t="s">
        <v>29</v>
      </c>
      <c r="D36" s="37"/>
      <c r="E36" s="38"/>
      <c r="F36" s="61" t="s">
        <v>58</v>
      </c>
      <c r="G36" s="61" t="s">
        <v>121</v>
      </c>
      <c r="H36" s="74" t="s">
        <v>16</v>
      </c>
      <c r="I36" s="5"/>
    </row>
    <row r="37" spans="2:10" x14ac:dyDescent="0.55000000000000004">
      <c r="B37" s="3" t="s">
        <v>30</v>
      </c>
      <c r="D37" s="16"/>
      <c r="E37" s="8"/>
      <c r="F37" s="6">
        <v>397522.6</v>
      </c>
      <c r="G37" s="6">
        <v>3954413</v>
      </c>
      <c r="H37" s="22">
        <f>+F37</f>
        <v>397522.6</v>
      </c>
      <c r="I37" s="5"/>
    </row>
    <row r="38" spans="2:10" x14ac:dyDescent="0.55000000000000004">
      <c r="B38" s="2" t="s">
        <v>102</v>
      </c>
      <c r="D38" s="16"/>
      <c r="E38" s="8"/>
      <c r="F38" s="7">
        <f>+F67</f>
        <v>2660650.9399999995</v>
      </c>
      <c r="G38" s="7"/>
      <c r="H38" s="73">
        <f>F38+G38</f>
        <v>2660650.9399999995</v>
      </c>
      <c r="I38" s="5"/>
    </row>
    <row r="39" spans="2:10" x14ac:dyDescent="0.55000000000000004">
      <c r="B39" s="2" t="s">
        <v>113</v>
      </c>
      <c r="D39" s="16"/>
      <c r="E39" s="8"/>
      <c r="F39" s="7">
        <f>-H35</f>
        <v>-2596195.0200000005</v>
      </c>
      <c r="G39" s="7">
        <v>0</v>
      </c>
      <c r="H39" s="73">
        <v>0</v>
      </c>
      <c r="I39" s="5"/>
      <c r="J39" s="80"/>
    </row>
    <row r="40" spans="2:10" x14ac:dyDescent="0.55000000000000004">
      <c r="B40" s="2" t="s">
        <v>95</v>
      </c>
      <c r="D40" s="16"/>
      <c r="E40" s="8"/>
      <c r="F40" s="7">
        <v>0</v>
      </c>
      <c r="G40" s="7">
        <v>0</v>
      </c>
      <c r="H40" s="73">
        <f>F40+G40</f>
        <v>0</v>
      </c>
      <c r="I40" s="81" t="s">
        <v>110</v>
      </c>
      <c r="J40" s="80"/>
    </row>
    <row r="41" spans="2:10" x14ac:dyDescent="0.55000000000000004">
      <c r="B41" s="2" t="s">
        <v>114</v>
      </c>
      <c r="D41" s="16"/>
      <c r="E41" s="8"/>
      <c r="F41" s="7">
        <v>0</v>
      </c>
      <c r="G41" s="7">
        <v>0</v>
      </c>
      <c r="H41" s="73">
        <f>+F41</f>
        <v>0</v>
      </c>
      <c r="I41" s="81"/>
    </row>
    <row r="42" spans="2:10" ht="14.7" thickBot="1" x14ac:dyDescent="0.6">
      <c r="B42" s="5" t="s">
        <v>59</v>
      </c>
      <c r="C42" s="57"/>
      <c r="D42" s="58">
        <v>46054</v>
      </c>
      <c r="E42" s="7"/>
      <c r="F42" s="7">
        <v>0</v>
      </c>
      <c r="G42" s="7">
        <v>662048</v>
      </c>
      <c r="H42" s="73">
        <v>0</v>
      </c>
      <c r="I42" s="5"/>
    </row>
    <row r="43" spans="2:10" ht="14.7" thickBot="1" x14ac:dyDescent="0.6">
      <c r="B43" s="59"/>
      <c r="C43" s="55"/>
      <c r="D43" s="60" t="s">
        <v>60</v>
      </c>
      <c r="E43" s="38"/>
      <c r="F43" s="62">
        <f>SUM(F37:F42)</f>
        <v>461978.51999999909</v>
      </c>
      <c r="G43" s="62">
        <f>SUM(G37:G42)</f>
        <v>4616461</v>
      </c>
      <c r="H43" s="75">
        <f>SUM(H37:H42)</f>
        <v>3058173.5399999996</v>
      </c>
      <c r="I43" s="5"/>
    </row>
    <row r="44" spans="2:10" ht="14.7" thickBot="1" x14ac:dyDescent="0.6">
      <c r="B44" t="s">
        <v>33</v>
      </c>
      <c r="D44" s="16"/>
      <c r="E44" s="8"/>
      <c r="F44" s="52"/>
      <c r="G44" s="62">
        <v>0</v>
      </c>
      <c r="H44" s="76">
        <f>-H35</f>
        <v>-2596195.0200000005</v>
      </c>
      <c r="I44" s="5"/>
    </row>
    <row r="45" spans="2:10" x14ac:dyDescent="0.55000000000000004">
      <c r="B45" s="47"/>
      <c r="C45" s="47"/>
      <c r="D45" s="48"/>
      <c r="E45" s="49"/>
      <c r="F45" s="46"/>
      <c r="G45" s="46"/>
      <c r="H45" s="77">
        <f>SUM(H43+H44)</f>
        <v>461978.51999999909</v>
      </c>
      <c r="I45" s="5"/>
    </row>
    <row r="46" spans="2:10" ht="14.7" thickBot="1" x14ac:dyDescent="0.6">
      <c r="B46" s="50" t="s">
        <v>141</v>
      </c>
      <c r="C46" s="43"/>
      <c r="D46" s="44"/>
      <c r="E46" s="45"/>
      <c r="F46" s="45"/>
      <c r="G46" s="45"/>
      <c r="H46" s="78">
        <f>H45</f>
        <v>461978.51999999909</v>
      </c>
      <c r="I46" s="5"/>
    </row>
    <row r="47" spans="2:10" ht="14.7" thickBot="1" x14ac:dyDescent="0.6">
      <c r="B47" s="13" t="s">
        <v>43</v>
      </c>
      <c r="C47" s="14" t="s">
        <v>62</v>
      </c>
      <c r="D47" s="17" t="s">
        <v>56</v>
      </c>
      <c r="E47" s="51" t="s">
        <v>135</v>
      </c>
      <c r="F47" s="20" t="s">
        <v>44</v>
      </c>
      <c r="G47" s="14" t="s">
        <v>45</v>
      </c>
      <c r="H47" s="51" t="s">
        <v>136</v>
      </c>
      <c r="I47" s="79" t="s">
        <v>57</v>
      </c>
    </row>
    <row r="48" spans="2:10" ht="14.7" thickBot="1" x14ac:dyDescent="0.6">
      <c r="B48" s="11" t="s">
        <v>86</v>
      </c>
      <c r="C48" s="12" t="s">
        <v>93</v>
      </c>
      <c r="D48" s="31">
        <v>5.93</v>
      </c>
      <c r="E48" s="90">
        <v>165211.85</v>
      </c>
      <c r="F48" s="90">
        <v>165211.85</v>
      </c>
      <c r="G48" s="89">
        <f>E48-F48</f>
        <v>0</v>
      </c>
      <c r="H48" s="90">
        <f>E48*1.03</f>
        <v>170168.20550000001</v>
      </c>
      <c r="I48" s="93">
        <f>G48+H48</f>
        <v>170168.20550000001</v>
      </c>
    </row>
    <row r="49" spans="2:9" ht="14.7" thickBot="1" x14ac:dyDescent="0.6">
      <c r="B49" s="10" t="s">
        <v>87</v>
      </c>
      <c r="C49" s="5" t="s">
        <v>36</v>
      </c>
      <c r="D49" s="32">
        <v>5.9</v>
      </c>
      <c r="E49" s="90">
        <v>154625.51999999999</v>
      </c>
      <c r="F49" s="90">
        <v>154625.51999999999</v>
      </c>
      <c r="G49" s="89">
        <f t="shared" ref="G49:G66" si="5">E49-F49</f>
        <v>0</v>
      </c>
      <c r="H49" s="90">
        <f>E49*1.03</f>
        <v>159264.2856</v>
      </c>
      <c r="I49" s="93">
        <f>G49+H49</f>
        <v>159264.2856</v>
      </c>
    </row>
    <row r="50" spans="2:9" ht="14.7" thickBot="1" x14ac:dyDescent="0.6">
      <c r="B50" s="10" t="s">
        <v>52</v>
      </c>
      <c r="C50" s="5" t="s">
        <v>130</v>
      </c>
      <c r="D50" s="32">
        <v>3.32</v>
      </c>
      <c r="E50" s="90">
        <v>92579.72</v>
      </c>
      <c r="F50" s="90">
        <v>92579.72</v>
      </c>
      <c r="G50" s="89">
        <f t="shared" si="5"/>
        <v>0</v>
      </c>
      <c r="H50" s="90">
        <f>E50*1.03</f>
        <v>95357.111600000004</v>
      </c>
      <c r="I50" s="93">
        <f t="shared" ref="I50:I66" si="6">G50+H50</f>
        <v>95357.111600000004</v>
      </c>
    </row>
    <row r="51" spans="2:9" ht="14.7" thickBot="1" x14ac:dyDescent="0.6">
      <c r="B51" s="10" t="s">
        <v>38</v>
      </c>
      <c r="C51" s="5" t="s">
        <v>120</v>
      </c>
      <c r="D51" s="32">
        <v>5.17</v>
      </c>
      <c r="E51" s="90">
        <v>163984.24</v>
      </c>
      <c r="F51" s="90">
        <v>164000</v>
      </c>
      <c r="G51" s="89">
        <f t="shared" si="5"/>
        <v>-15.760000000009313</v>
      </c>
      <c r="H51" s="90">
        <f>E51*1.03</f>
        <v>168903.7672</v>
      </c>
      <c r="I51" s="93">
        <f t="shared" si="6"/>
        <v>168888.00719999999</v>
      </c>
    </row>
    <row r="52" spans="2:9" ht="14.7" thickBot="1" x14ac:dyDescent="0.6">
      <c r="B52" s="10" t="s">
        <v>46</v>
      </c>
      <c r="C52" s="5" t="s">
        <v>116</v>
      </c>
      <c r="D52" s="32">
        <v>3.91</v>
      </c>
      <c r="E52" s="90">
        <v>87258</v>
      </c>
      <c r="F52" s="90">
        <v>87258</v>
      </c>
      <c r="G52" s="89">
        <f t="shared" si="5"/>
        <v>0</v>
      </c>
      <c r="H52" s="90">
        <f>E52*1.03</f>
        <v>89875.74</v>
      </c>
      <c r="I52" s="93">
        <f t="shared" si="6"/>
        <v>89875.74</v>
      </c>
    </row>
    <row r="53" spans="2:9" ht="14.7" thickBot="1" x14ac:dyDescent="0.6">
      <c r="B53" s="10" t="s">
        <v>68</v>
      </c>
      <c r="C53" s="64" t="s">
        <v>143</v>
      </c>
      <c r="D53" s="32">
        <v>6.09</v>
      </c>
      <c r="E53" s="90">
        <v>136662.1</v>
      </c>
      <c r="F53" s="90">
        <v>136662.1</v>
      </c>
      <c r="G53" s="89">
        <f t="shared" si="5"/>
        <v>0</v>
      </c>
      <c r="H53" s="90">
        <f t="shared" ref="H53:H66" si="7">E53*1.03</f>
        <v>140761.96300000002</v>
      </c>
      <c r="I53" s="93">
        <f t="shared" si="6"/>
        <v>140761.96300000002</v>
      </c>
    </row>
    <row r="54" spans="2:9" ht="14.7" thickBot="1" x14ac:dyDescent="0.6">
      <c r="B54" s="10" t="s">
        <v>91</v>
      </c>
      <c r="C54" s="5" t="s">
        <v>47</v>
      </c>
      <c r="D54" s="32">
        <v>7.22</v>
      </c>
      <c r="E54" s="90">
        <v>176088.87</v>
      </c>
      <c r="F54" s="90">
        <v>176088.87</v>
      </c>
      <c r="G54" s="89">
        <f t="shared" si="5"/>
        <v>0</v>
      </c>
      <c r="H54" s="90">
        <f t="shared" si="7"/>
        <v>181371.5361</v>
      </c>
      <c r="I54" s="93">
        <f t="shared" si="6"/>
        <v>181371.5361</v>
      </c>
    </row>
    <row r="55" spans="2:9" ht="14.7" thickBot="1" x14ac:dyDescent="0.6">
      <c r="B55" s="10" t="s">
        <v>65</v>
      </c>
      <c r="C55" s="5" t="s">
        <v>117</v>
      </c>
      <c r="D55" s="32">
        <v>6.01</v>
      </c>
      <c r="E55" s="90">
        <v>178502.16</v>
      </c>
      <c r="F55" s="90">
        <v>178502.16</v>
      </c>
      <c r="G55" s="89">
        <f t="shared" si="5"/>
        <v>0</v>
      </c>
      <c r="H55" s="90">
        <f t="shared" si="7"/>
        <v>183857.2248</v>
      </c>
      <c r="I55" s="93">
        <f t="shared" si="6"/>
        <v>183857.2248</v>
      </c>
    </row>
    <row r="56" spans="2:9" ht="14.7" thickBot="1" x14ac:dyDescent="0.6">
      <c r="B56" s="10" t="s">
        <v>48</v>
      </c>
      <c r="C56" s="5" t="s">
        <v>47</v>
      </c>
      <c r="D56" s="32">
        <v>5.22</v>
      </c>
      <c r="E56" s="90">
        <v>148707.87</v>
      </c>
      <c r="F56" s="90">
        <v>148707.87</v>
      </c>
      <c r="G56" s="89">
        <f t="shared" si="5"/>
        <v>0</v>
      </c>
      <c r="H56" s="90">
        <f t="shared" si="7"/>
        <v>153169.1061</v>
      </c>
      <c r="I56" s="93">
        <f t="shared" si="6"/>
        <v>153169.1061</v>
      </c>
    </row>
    <row r="57" spans="2:9" ht="14.7" thickBot="1" x14ac:dyDescent="0.6">
      <c r="B57" s="10" t="s">
        <v>54</v>
      </c>
      <c r="C57" s="5" t="s">
        <v>50</v>
      </c>
      <c r="D57" s="32">
        <v>7.09</v>
      </c>
      <c r="E57" s="90">
        <v>114492.82</v>
      </c>
      <c r="F57" s="90">
        <v>114492.82</v>
      </c>
      <c r="G57" s="89">
        <f t="shared" si="5"/>
        <v>0</v>
      </c>
      <c r="H57" s="90">
        <f>E57*1.03</f>
        <v>117927.60460000001</v>
      </c>
      <c r="I57" s="93">
        <f t="shared" si="6"/>
        <v>117927.60460000001</v>
      </c>
    </row>
    <row r="58" spans="2:9" ht="14.7" thickBot="1" x14ac:dyDescent="0.6">
      <c r="B58" s="10" t="s">
        <v>39</v>
      </c>
      <c r="C58" s="5" t="s">
        <v>92</v>
      </c>
      <c r="D58" s="32">
        <v>2.63</v>
      </c>
      <c r="E58" s="90">
        <v>71337.56</v>
      </c>
      <c r="F58" s="90">
        <v>71337.56</v>
      </c>
      <c r="G58" s="89">
        <f t="shared" si="5"/>
        <v>0</v>
      </c>
      <c r="H58" s="90">
        <f t="shared" si="7"/>
        <v>73477.686799999996</v>
      </c>
      <c r="I58" s="93">
        <f t="shared" si="6"/>
        <v>73477.686799999996</v>
      </c>
    </row>
    <row r="59" spans="2:9" ht="14.7" thickBot="1" x14ac:dyDescent="0.6">
      <c r="B59" s="10" t="s">
        <v>55</v>
      </c>
      <c r="C59" s="5" t="s">
        <v>35</v>
      </c>
      <c r="D59" s="32">
        <v>5.98</v>
      </c>
      <c r="E59" s="90">
        <v>165148.13</v>
      </c>
      <c r="F59" s="90">
        <v>165149</v>
      </c>
      <c r="G59" s="89">
        <f t="shared" si="5"/>
        <v>-0.86999999999534339</v>
      </c>
      <c r="H59" s="90">
        <f t="shared" si="7"/>
        <v>170102.57390000002</v>
      </c>
      <c r="I59" s="93">
        <f t="shared" si="6"/>
        <v>170101.70390000002</v>
      </c>
    </row>
    <row r="60" spans="2:9" ht="14.7" thickBot="1" x14ac:dyDescent="0.6">
      <c r="B60" s="10" t="s">
        <v>64</v>
      </c>
      <c r="C60" s="5" t="s">
        <v>88</v>
      </c>
      <c r="D60" s="32">
        <v>5.74</v>
      </c>
      <c r="E60" s="90">
        <v>168711.31</v>
      </c>
      <c r="F60" s="90">
        <v>168711.31</v>
      </c>
      <c r="G60" s="89">
        <f t="shared" si="5"/>
        <v>0</v>
      </c>
      <c r="H60" s="90">
        <f t="shared" si="7"/>
        <v>173772.64929999999</v>
      </c>
      <c r="I60" s="93">
        <f t="shared" si="6"/>
        <v>173772.64929999999</v>
      </c>
    </row>
    <row r="61" spans="2:9" ht="14.7" thickBot="1" x14ac:dyDescent="0.6">
      <c r="B61" s="10" t="s">
        <v>71</v>
      </c>
      <c r="C61" s="5" t="s">
        <v>122</v>
      </c>
      <c r="D61" s="32">
        <v>6.39</v>
      </c>
      <c r="E61" s="90">
        <v>169935.62</v>
      </c>
      <c r="F61" s="90">
        <v>169935.62</v>
      </c>
      <c r="G61" s="89">
        <f t="shared" si="5"/>
        <v>0</v>
      </c>
      <c r="H61" s="90">
        <f t="shared" si="7"/>
        <v>175033.68859999999</v>
      </c>
      <c r="I61" s="93">
        <f t="shared" si="6"/>
        <v>175033.68859999999</v>
      </c>
    </row>
    <row r="62" spans="2:9" ht="14.7" thickBot="1" x14ac:dyDescent="0.6">
      <c r="B62" s="10" t="s">
        <v>40</v>
      </c>
      <c r="C62" s="5" t="s">
        <v>67</v>
      </c>
      <c r="D62" s="32">
        <v>5.21</v>
      </c>
      <c r="E62" s="90">
        <v>143095.62</v>
      </c>
      <c r="F62" s="90">
        <v>143100</v>
      </c>
      <c r="G62" s="89">
        <f t="shared" si="5"/>
        <v>-4.3800000000046566</v>
      </c>
      <c r="H62" s="90">
        <f t="shared" si="7"/>
        <v>147388.48860000001</v>
      </c>
      <c r="I62" s="93">
        <f t="shared" si="6"/>
        <v>147384.10860000001</v>
      </c>
    </row>
    <row r="63" spans="2:9" ht="14.7" thickBot="1" x14ac:dyDescent="0.6">
      <c r="B63" s="10" t="s">
        <v>89</v>
      </c>
      <c r="C63" s="95" t="s">
        <v>107</v>
      </c>
      <c r="D63" s="32">
        <v>5.22</v>
      </c>
      <c r="E63" s="90">
        <v>147713.78</v>
      </c>
      <c r="F63" s="90">
        <v>147713.78</v>
      </c>
      <c r="G63" s="89">
        <f t="shared" si="5"/>
        <v>0</v>
      </c>
      <c r="H63" s="90">
        <f t="shared" si="7"/>
        <v>152145.19339999999</v>
      </c>
      <c r="I63" s="93">
        <f t="shared" si="6"/>
        <v>152145.19339999999</v>
      </c>
    </row>
    <row r="64" spans="2:9" ht="14.7" thickBot="1" x14ac:dyDescent="0.6">
      <c r="B64" s="10" t="s">
        <v>41</v>
      </c>
      <c r="C64" s="95" t="s">
        <v>106</v>
      </c>
      <c r="D64" s="32">
        <v>2.61</v>
      </c>
      <c r="E64" s="90">
        <v>73501.72</v>
      </c>
      <c r="F64" s="90">
        <v>73502</v>
      </c>
      <c r="G64" s="89">
        <f t="shared" si="5"/>
        <v>-0.27999999999883585</v>
      </c>
      <c r="H64" s="90">
        <f t="shared" si="7"/>
        <v>75706.771600000007</v>
      </c>
      <c r="I64" s="93">
        <f t="shared" si="6"/>
        <v>75706.491600000008</v>
      </c>
    </row>
    <row r="65" spans="2:10" ht="14.7" thickBot="1" x14ac:dyDescent="0.6">
      <c r="B65" s="10" t="s">
        <v>42</v>
      </c>
      <c r="C65" s="5" t="s">
        <v>49</v>
      </c>
      <c r="D65" s="32">
        <v>5.45</v>
      </c>
      <c r="E65" s="90">
        <v>151536.38</v>
      </c>
      <c r="F65" s="90">
        <v>151536.38</v>
      </c>
      <c r="G65" s="89">
        <f t="shared" si="5"/>
        <v>0</v>
      </c>
      <c r="H65" s="90">
        <f t="shared" si="7"/>
        <v>156082.47140000001</v>
      </c>
      <c r="I65" s="93">
        <f t="shared" si="6"/>
        <v>156082.47140000001</v>
      </c>
    </row>
    <row r="66" spans="2:10" x14ac:dyDescent="0.55000000000000004">
      <c r="B66" s="10" t="s">
        <v>53</v>
      </c>
      <c r="C66" s="5" t="s">
        <v>131</v>
      </c>
      <c r="D66" s="32">
        <v>4.91</v>
      </c>
      <c r="E66" s="90">
        <v>151536.38</v>
      </c>
      <c r="F66" s="90">
        <v>151536.38</v>
      </c>
      <c r="G66" s="89">
        <f t="shared" si="5"/>
        <v>0</v>
      </c>
      <c r="H66" s="90">
        <f t="shared" si="7"/>
        <v>156082.47140000001</v>
      </c>
      <c r="I66" s="93">
        <f t="shared" si="6"/>
        <v>156082.47140000001</v>
      </c>
    </row>
    <row r="67" spans="2:10" x14ac:dyDescent="0.55000000000000004">
      <c r="B67" s="24"/>
      <c r="C67" s="25"/>
      <c r="D67" s="26">
        <f t="shared" ref="D67" si="8">SUM(D48:D66)</f>
        <v>99.999999999999986</v>
      </c>
      <c r="E67" s="26">
        <f t="shared" ref="E67:I67" si="9">SUM(E48:E66)</f>
        <v>2660629.6500000004</v>
      </c>
      <c r="F67" s="26">
        <f t="shared" si="9"/>
        <v>2660650.9399999995</v>
      </c>
      <c r="G67" s="26">
        <f>SUM(G48:G66)</f>
        <v>-21.290000000008149</v>
      </c>
      <c r="H67" s="26">
        <f t="shared" si="9"/>
        <v>2740448.5395000004</v>
      </c>
      <c r="I67" s="94">
        <f t="shared" si="9"/>
        <v>2740427.2495000004</v>
      </c>
    </row>
    <row r="68" spans="2:10" ht="20.399999999999999" x14ac:dyDescent="0.75">
      <c r="C68" s="66" t="s">
        <v>140</v>
      </c>
      <c r="D68" s="67"/>
      <c r="E68" s="68"/>
      <c r="F68" s="68"/>
      <c r="G68" s="69"/>
      <c r="H68" s="8"/>
      <c r="I68" s="2"/>
    </row>
    <row r="69" spans="2:10" x14ac:dyDescent="0.55000000000000004">
      <c r="C69" s="88" t="s">
        <v>94</v>
      </c>
      <c r="D69" s="16"/>
      <c r="E69" s="8"/>
      <c r="F69" s="8"/>
      <c r="G69" s="2"/>
      <c r="H69" s="8"/>
      <c r="I69" s="2"/>
      <c r="J69" s="1"/>
    </row>
    <row r="70" spans="2:10" ht="15.6" x14ac:dyDescent="0.6">
      <c r="B70" s="42" t="s">
        <v>103</v>
      </c>
      <c r="C70" s="1"/>
      <c r="D70" s="92"/>
      <c r="E70" s="34"/>
      <c r="F70" s="34"/>
      <c r="G70" s="1"/>
      <c r="H70" s="34"/>
      <c r="I70" s="1"/>
    </row>
    <row r="71" spans="2:10" x14ac:dyDescent="0.55000000000000004">
      <c r="B71" s="1" t="s">
        <v>111</v>
      </c>
      <c r="C71" s="1"/>
      <c r="D71" s="96"/>
      <c r="E71" s="97"/>
      <c r="F71" s="97"/>
      <c r="G71" s="3"/>
      <c r="H71" s="97"/>
      <c r="I71" s="3"/>
    </row>
    <row r="72" spans="2:10" x14ac:dyDescent="0.55000000000000004">
      <c r="D72" s="16"/>
      <c r="E72" s="8"/>
      <c r="F72" s="8"/>
      <c r="G72" s="2"/>
      <c r="H72" s="8"/>
      <c r="I72" s="2"/>
    </row>
    <row r="73" spans="2:10" ht="15.6" x14ac:dyDescent="0.6">
      <c r="B73" s="42" t="s">
        <v>115</v>
      </c>
      <c r="C73" s="42"/>
      <c r="D73" s="39"/>
      <c r="E73" s="40"/>
      <c r="F73" s="40"/>
      <c r="G73" s="42"/>
      <c r="H73" s="40"/>
      <c r="I73" s="42"/>
    </row>
  </sheetData>
  <printOptions horizontalCentered="1"/>
  <pageMargins left="1.1023622047244095" right="0.70866141732283472" top="0.35433070866141736" bottom="0.35433070866141736" header="0.31496062992125984" footer="0.31496062992125984"/>
  <pageSetup paperSize="9" scale="75" fitToHeight="0" orientation="landscape" r:id="rId1"/>
  <rowBreaks count="1" manualBreakCount="1">
    <brk id="4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20</vt:i4>
      </vt:variant>
    </vt:vector>
  </HeadingPairs>
  <TitlesOfParts>
    <vt:vector size="40" baseType="lpstr">
      <vt:lpstr>ADMINISTRACION</vt:lpstr>
      <vt:lpstr>MOYANO </vt:lpstr>
      <vt:lpstr>VARGAS</vt:lpstr>
      <vt:lpstr>MOYANO</vt:lpstr>
      <vt:lpstr>HIGONENQ </vt:lpstr>
      <vt:lpstr>RASTELLI</vt:lpstr>
      <vt:lpstr>GONZALEZ F</vt:lpstr>
      <vt:lpstr>PB C</vt:lpstr>
      <vt:lpstr>BERENICE</vt:lpstr>
      <vt:lpstr>PERALTA</vt:lpstr>
      <vt:lpstr>LOYOLA</vt:lpstr>
      <vt:lpstr>CATALINA</vt:lpstr>
      <vt:lpstr>MIGUELPBD</vt:lpstr>
      <vt:lpstr>ANTONIA</vt:lpstr>
      <vt:lpstr>MIGUEL A. RAINIERI 1E</vt:lpstr>
      <vt:lpstr>WALTER</vt:lpstr>
      <vt:lpstr>ECKSTEIN</vt:lpstr>
      <vt:lpstr>MADALENO</vt:lpstr>
      <vt:lpstr>RIVERO JUAN</vt:lpstr>
      <vt:lpstr>JULIAN</vt:lpstr>
      <vt:lpstr>ADMINISTRACION!Área_de_impresión</vt:lpstr>
      <vt:lpstr>ANTONIA!Área_de_impresión</vt:lpstr>
      <vt:lpstr>BERENICE!Área_de_impresión</vt:lpstr>
      <vt:lpstr>CATALINA!Área_de_impresión</vt:lpstr>
      <vt:lpstr>ECKSTEIN!Área_de_impresión</vt:lpstr>
      <vt:lpstr>'GONZALEZ F'!Área_de_impresión</vt:lpstr>
      <vt:lpstr>'HIGONENQ '!Área_de_impresión</vt:lpstr>
      <vt:lpstr>JULIAN!Área_de_impresión</vt:lpstr>
      <vt:lpstr>LOYOLA!Área_de_impresión</vt:lpstr>
      <vt:lpstr>MADALENO!Área_de_impresión</vt:lpstr>
      <vt:lpstr>'MIGUEL A. RAINIERI 1E'!Área_de_impresión</vt:lpstr>
      <vt:lpstr>MIGUELPBD!Área_de_impresión</vt:lpstr>
      <vt:lpstr>MOYANO!Área_de_impresión</vt:lpstr>
      <vt:lpstr>'MOYANO '!Área_de_impresión</vt:lpstr>
      <vt:lpstr>'PB C'!Área_de_impresión</vt:lpstr>
      <vt:lpstr>PERALTA!Área_de_impresión</vt:lpstr>
      <vt:lpstr>RASTELLI!Área_de_impresión</vt:lpstr>
      <vt:lpstr>'RIVERO JUAN'!Área_de_impresión</vt:lpstr>
      <vt:lpstr>VARGAS!Área_de_impresión</vt:lpstr>
      <vt:lpstr>WALTER!Área_de_impresión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JUANKA</cp:lastModifiedBy>
  <cp:lastPrinted>2026-03-04T13:30:49Z</cp:lastPrinted>
  <dcterms:created xsi:type="dcterms:W3CDTF">2017-08-18T13:31:31Z</dcterms:created>
  <dcterms:modified xsi:type="dcterms:W3CDTF">2026-03-11T14:07:15Z</dcterms:modified>
</cp:coreProperties>
</file>